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1.xml" ContentType="application/vnd.ms-excel.slicer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OROTIANA\Desktop\Nouveau dossier (2)\"/>
    </mc:Choice>
  </mc:AlternateContent>
  <xr:revisionPtr revIDLastSave="0" documentId="13_ncr:1_{E887A2FE-FD51-48DB-81CF-5275643C9592}" xr6:coauthVersionLast="47" xr6:coauthVersionMax="47" xr10:uidLastSave="{00000000-0000-0000-0000-000000000000}"/>
  <bookViews>
    <workbookView xWindow="-120" yWindow="-120" windowWidth="20730" windowHeight="11160" firstSheet="1" activeTab="4" xr2:uid="{9B1D7638-45EE-4FFE-9840-6B25FC6F47A8}"/>
  </bookViews>
  <sheets>
    <sheet name="Opérations" sheetId="1" r:id="rId1"/>
    <sheet name="Marchandises" sheetId="2" r:id="rId2"/>
    <sheet name="Entrées" sheetId="3" r:id="rId3"/>
    <sheet name="Traitement" sheetId="6" r:id="rId4"/>
    <sheet name="Tableau de bord" sheetId="7" r:id="rId5"/>
    <sheet name="Sorties" sheetId="4" r:id="rId6"/>
    <sheet name="Inventaire" sheetId="5" r:id="rId7"/>
  </sheets>
  <definedNames>
    <definedName name="_xlcn.WorksheetConnection_Classeur1Récupérationautomatique.xlsmcategorie" hidden="1">categorie[]</definedName>
    <definedName name="_xlcn.WorksheetConnection_Classeur1Récupérationautomatique.xlsmreference" hidden="1">reference[]</definedName>
    <definedName name="_xlcn.WorksheetConnection_Classeur1Récupérationautomatique.xlsmTableauEntrée" hidden="1">TableauEntrée[]</definedName>
    <definedName name="_xlcn.WorksheetConnection_Classeur1Récupérationautomatique.xlsmTableauSorties" hidden="1">TableauSorties[]</definedName>
    <definedName name="Segment_Catégories">#N/A</definedName>
  </definedNames>
  <calcPr calcId="18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</pivotCaches>
  <extLst>
    <ext xmlns:x14="http://schemas.microsoft.com/office/spreadsheetml/2009/9/main" uri="{876F7934-8845-4945-9796-88D515C7AA90}">
      <x14:pivotCaches>
        <pivotCache cacheId="12" r:id="rId20"/>
      </x14:pivotCaches>
    </ext>
    <ext xmlns:x14="http://schemas.microsoft.com/office/spreadsheetml/2009/9/main" uri="{BBE1A952-AA13-448e-AADC-164F8A28A991}">
      <x14:slicerCaches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Entrée" name="TableauEntrée" connection="WorksheetConnection_Classeur1(Récupération automatique).xlsm!TableauEntrée"/>
          <x15:modelTable id="categorie" name="categorie" connection="WorksheetConnection_Classeur1(Récupération automatique).xlsm!categorie"/>
          <x15:modelTable id="TableauSorties" name="TableauSorties" connection="WorksheetConnection_Classeur1(Récupération automatique).xlsm!TableauSorties"/>
          <x15:modelTable id="reference" name="reference" connection="WorksheetConnection_Classeur1(Récupération automatique).xlsm!reference"/>
        </x15:modelTables>
        <x15:modelRelationships>
          <x15:modelRelationship fromTable="TableauEntrée" fromColumn="Catégorie" toTable="categorie" toColumn="Catégories"/>
          <x15:modelRelationship fromTable="TableauEntrée" fromColumn="Référence" toTable="reference" toColumn="Référence"/>
          <x15:modelRelationship fromTable="TableauSorties" fromColumn="Catégorie" toTable="categorie" toColumn="Catégories"/>
          <x15:modelRelationship fromTable="TableauSorties" fromColumn="Référence" toTable="reference" toColumn="Référence"/>
        </x15:modelRelationships>
      </x15:dataModel>
    </ext>
  </extLst>
</workbook>
</file>

<file path=xl/calcChain.xml><?xml version="1.0" encoding="utf-8"?>
<calcChain xmlns="http://schemas.openxmlformats.org/spreadsheetml/2006/main">
  <c r="F62" i="6" l="1"/>
  <c r="F63" i="6"/>
  <c r="F64" i="6"/>
  <c r="G62" i="6" s="1"/>
  <c r="F61" i="6"/>
  <c r="G49" i="6"/>
  <c r="F50" i="6"/>
  <c r="F51" i="6"/>
  <c r="F52" i="6"/>
  <c r="F53" i="6"/>
  <c r="F49" i="6"/>
  <c r="E10" i="5"/>
  <c r="K12" i="4"/>
  <c r="K11" i="4"/>
  <c r="I14" i="1"/>
  <c r="G10" i="1"/>
  <c r="J22" i="2"/>
  <c r="L13" i="5" s="1"/>
  <c r="J23" i="2"/>
  <c r="J24" i="2"/>
  <c r="J25" i="2"/>
  <c r="L10" i="5"/>
  <c r="L11" i="5"/>
  <c r="L14" i="5"/>
  <c r="L15" i="5"/>
  <c r="J7" i="5"/>
  <c r="J8" i="5"/>
  <c r="J9" i="5"/>
  <c r="J10" i="5"/>
  <c r="J11" i="5"/>
  <c r="J12" i="5"/>
  <c r="J13" i="5"/>
  <c r="J14" i="5"/>
  <c r="J15" i="5"/>
  <c r="J16" i="5"/>
  <c r="J17" i="5"/>
  <c r="I7" i="5"/>
  <c r="I8" i="5"/>
  <c r="I9" i="5"/>
  <c r="I10" i="5"/>
  <c r="I11" i="5"/>
  <c r="I12" i="5"/>
  <c r="I13" i="5"/>
  <c r="I14" i="5"/>
  <c r="I15" i="5"/>
  <c r="I16" i="5"/>
  <c r="I17" i="5"/>
  <c r="H7" i="5"/>
  <c r="H8" i="5"/>
  <c r="H9" i="5"/>
  <c r="H10" i="5"/>
  <c r="H11" i="5"/>
  <c r="H12" i="5"/>
  <c r="H13" i="5"/>
  <c r="H14" i="5"/>
  <c r="H15" i="5"/>
  <c r="H16" i="5"/>
  <c r="H17" i="5"/>
  <c r="G7" i="5"/>
  <c r="G8" i="5"/>
  <c r="G9" i="5"/>
  <c r="G10" i="5"/>
  <c r="G11" i="5"/>
  <c r="G12" i="5"/>
  <c r="G13" i="5"/>
  <c r="G14" i="5"/>
  <c r="G15" i="5"/>
  <c r="G16" i="5"/>
  <c r="G17" i="5"/>
  <c r="F7" i="5"/>
  <c r="F8" i="5"/>
  <c r="F9" i="5"/>
  <c r="F10" i="5"/>
  <c r="F11" i="5"/>
  <c r="F12" i="5"/>
  <c r="F13" i="5"/>
  <c r="F14" i="5"/>
  <c r="F15" i="5"/>
  <c r="F16" i="5"/>
  <c r="F17" i="5"/>
  <c r="E7" i="5"/>
  <c r="E8" i="5"/>
  <c r="E9" i="5"/>
  <c r="E11" i="5"/>
  <c r="E12" i="5"/>
  <c r="E13" i="5"/>
  <c r="E14" i="5"/>
  <c r="E15" i="5"/>
  <c r="E16" i="5"/>
  <c r="E17" i="5"/>
  <c r="D8" i="5"/>
  <c r="D9" i="5"/>
  <c r="D12" i="5"/>
  <c r="D16" i="5"/>
  <c r="D17" i="5"/>
  <c r="K10" i="4"/>
  <c r="K9" i="4"/>
  <c r="K8" i="4"/>
  <c r="K7" i="4"/>
  <c r="J26" i="2"/>
  <c r="J21" i="2"/>
  <c r="L12" i="5" s="1"/>
  <c r="J20" i="2"/>
  <c r="L17" i="5" s="1"/>
  <c r="J19" i="2"/>
  <c r="L16" i="5" s="1"/>
  <c r="J18" i="2"/>
  <c r="J17" i="2"/>
  <c r="L9" i="5" s="1"/>
  <c r="J16" i="2"/>
  <c r="L7" i="5" s="1"/>
  <c r="J15" i="2"/>
  <c r="L8" i="5" s="1"/>
  <c r="F9" i="2"/>
  <c r="G61" i="6" l="1"/>
  <c r="G64" i="6"/>
  <c r="G63" i="6"/>
  <c r="K14" i="5"/>
  <c r="N14" i="5" s="1"/>
  <c r="K10" i="5"/>
  <c r="N10" i="5" s="1"/>
  <c r="K11" i="5"/>
  <c r="M11" i="5" s="1"/>
  <c r="K7" i="5"/>
  <c r="M7" i="5" s="1"/>
  <c r="K13" i="5"/>
  <c r="M13" i="5" s="1"/>
  <c r="K9" i="5"/>
  <c r="M9" i="5" s="1"/>
  <c r="K17" i="5"/>
  <c r="N17" i="5" s="1"/>
  <c r="K16" i="5"/>
  <c r="N16" i="5" s="1"/>
  <c r="K12" i="5"/>
  <c r="N12" i="5" s="1"/>
  <c r="K8" i="5"/>
  <c r="N8" i="5" s="1"/>
  <c r="K15" i="5"/>
  <c r="N15" i="5" s="1"/>
  <c r="N11" i="5"/>
  <c r="M14" i="5"/>
  <c r="M10" i="5"/>
  <c r="M16" i="5" l="1"/>
  <c r="N7" i="5"/>
  <c r="N9" i="5"/>
  <c r="M12" i="5"/>
  <c r="N13" i="5"/>
  <c r="M17" i="5"/>
  <c r="M15" i="5"/>
  <c r="M8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AB1844-74AC-43D3-B2C5-608E94316436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3174F23-9509-4EDE-B8AF-95A3A5DC35FE}" name="WorksheetConnection_Classeur1(Récupération automatique).xlsm!categorie" type="102" refreshedVersion="8" minRefreshableVersion="5">
    <extLst>
      <ext xmlns:x15="http://schemas.microsoft.com/office/spreadsheetml/2010/11/main" uri="{DE250136-89BD-433C-8126-D09CA5730AF9}">
        <x15:connection id="categorie">
          <x15:rangePr sourceName="_xlcn.WorksheetConnection_Classeur1Récupérationautomatique.xlsmcategorie"/>
        </x15:connection>
      </ext>
    </extLst>
  </connection>
  <connection id="3" xr16:uid="{B79A9788-56BD-41FE-A473-882AC0338958}" name="WorksheetConnection_Classeur1(Récupération automatique).xlsm!reference" type="102" refreshedVersion="8" minRefreshableVersion="5">
    <extLst>
      <ext xmlns:x15="http://schemas.microsoft.com/office/spreadsheetml/2010/11/main" uri="{DE250136-89BD-433C-8126-D09CA5730AF9}">
        <x15:connection id="reference">
          <x15:rangePr sourceName="_xlcn.WorksheetConnection_Classeur1Récupérationautomatique.xlsmreference"/>
        </x15:connection>
      </ext>
    </extLst>
  </connection>
  <connection id="4" xr16:uid="{61861E2C-AC1C-4C07-BE44-B60A8F9DEA11}" name="WorksheetConnection_Classeur1(Récupération automatique).xlsm!TableauEntrée" type="102" refreshedVersion="8" minRefreshableVersion="5">
    <extLst>
      <ext xmlns:x15="http://schemas.microsoft.com/office/spreadsheetml/2010/11/main" uri="{DE250136-89BD-433C-8126-D09CA5730AF9}">
        <x15:connection id="TableauEntrée">
          <x15:rangePr sourceName="_xlcn.WorksheetConnection_Classeur1Récupérationautomatique.xlsmTableauEntrée"/>
        </x15:connection>
      </ext>
    </extLst>
  </connection>
  <connection id="5" xr16:uid="{5ED0F8D6-3F5A-4538-9886-2A57D097B5D1}" name="WorksheetConnection_Classeur1(Récupération automatique).xlsm!TableauSorties" type="102" refreshedVersion="8" minRefreshableVersion="5">
    <extLst>
      <ext xmlns:x15="http://schemas.microsoft.com/office/spreadsheetml/2010/11/main" uri="{DE250136-89BD-433C-8126-D09CA5730AF9}">
        <x15:connection id="TableauSorties">
          <x15:rangePr sourceName="_xlcn.WorksheetConnection_Classeur1Récupérationautomatique.xlsmTableauSorties"/>
        </x15:connection>
      </ext>
    </extLst>
  </connection>
</connections>
</file>

<file path=xl/sharedStrings.xml><?xml version="1.0" encoding="utf-8"?>
<sst xmlns="http://schemas.openxmlformats.org/spreadsheetml/2006/main" count="268" uniqueCount="69">
  <si>
    <t>Veuillez saisir les informations de chaque marchandise</t>
  </si>
  <si>
    <r>
      <t xml:space="preserve">Nouvelle </t>
    </r>
    <r>
      <rPr>
        <sz val="14"/>
        <color theme="4"/>
        <rFont val="Arial Rounded MT Bold"/>
        <family val="2"/>
      </rPr>
      <t>marchandise</t>
    </r>
  </si>
  <si>
    <t>Référence</t>
  </si>
  <si>
    <t>Désignation</t>
  </si>
  <si>
    <t>Catégorie</t>
  </si>
  <si>
    <t>Unité</t>
  </si>
  <si>
    <t>Seuil d'alerte</t>
  </si>
  <si>
    <t>Stock initial</t>
  </si>
  <si>
    <t>Prix unitaire</t>
  </si>
  <si>
    <t>Total</t>
  </si>
  <si>
    <r>
      <t xml:space="preserve">Liste des </t>
    </r>
    <r>
      <rPr>
        <sz val="14"/>
        <color theme="4"/>
        <rFont val="Arial Rounded MT Bold"/>
        <family val="2"/>
      </rPr>
      <t>marchandises :</t>
    </r>
  </si>
  <si>
    <t>S2</t>
  </si>
  <si>
    <t>S3</t>
  </si>
  <si>
    <t>IPHONE 13 PRO</t>
  </si>
  <si>
    <t>SmartPhone</t>
  </si>
  <si>
    <t>1 Unité</t>
  </si>
  <si>
    <t>SAMSUNG S23</t>
  </si>
  <si>
    <t>B1</t>
  </si>
  <si>
    <t>Biscuits</t>
  </si>
  <si>
    <t>A1</t>
  </si>
  <si>
    <t>HP PROBOOK 4530S</t>
  </si>
  <si>
    <t>Ordinateur</t>
  </si>
  <si>
    <t>C1</t>
  </si>
  <si>
    <t>REFRIGERATEUR A+</t>
  </si>
  <si>
    <t>Electro</t>
  </si>
  <si>
    <t>C2</t>
  </si>
  <si>
    <t>PLAYSTATION 5</t>
  </si>
  <si>
    <t>Consoles</t>
  </si>
  <si>
    <t>E1</t>
  </si>
  <si>
    <t>CUISINIERE SIERA</t>
  </si>
  <si>
    <t>OREO</t>
  </si>
  <si>
    <t>Pack de 10 unité</t>
  </si>
  <si>
    <r>
      <t>Liste</t>
    </r>
    <r>
      <rPr>
        <sz val="14"/>
        <color theme="4"/>
        <rFont val="Arial Rounded MT Bold"/>
        <family val="2"/>
      </rPr>
      <t xml:space="preserve"> des entrées :</t>
    </r>
  </si>
  <si>
    <t>Numéro</t>
  </si>
  <si>
    <t>Date</t>
  </si>
  <si>
    <t>Coût d'achat</t>
  </si>
  <si>
    <t>Quantité</t>
  </si>
  <si>
    <t>Veuillez saisir les détails de l'opération de vente d'achat</t>
  </si>
  <si>
    <t>Prix Unitaire</t>
  </si>
  <si>
    <r>
      <t xml:space="preserve">Nouvelle </t>
    </r>
    <r>
      <rPr>
        <sz val="14"/>
        <color theme="4" tint="-0.249977111117893"/>
        <rFont val="Arial Rounded MT Bold"/>
        <family val="2"/>
      </rPr>
      <t>opération</t>
    </r>
  </si>
  <si>
    <t>Entrées</t>
  </si>
  <si>
    <t>Sorties</t>
  </si>
  <si>
    <t>Stock final</t>
  </si>
  <si>
    <t>CUMP</t>
  </si>
  <si>
    <t>Valeur</t>
  </si>
  <si>
    <t>Statue</t>
  </si>
  <si>
    <t>B2</t>
  </si>
  <si>
    <t>B3</t>
  </si>
  <si>
    <t>E2</t>
  </si>
  <si>
    <t>E3</t>
  </si>
  <si>
    <t>E4</t>
  </si>
  <si>
    <t>Somme de Stock final</t>
  </si>
  <si>
    <t>Somme de Valeur</t>
  </si>
  <si>
    <t>Somme de Quantité</t>
  </si>
  <si>
    <t>Somme de Total</t>
  </si>
  <si>
    <t>Catégories</t>
  </si>
  <si>
    <t>Lundi</t>
  </si>
  <si>
    <t>Mardi</t>
  </si>
  <si>
    <t>Mercredi</t>
  </si>
  <si>
    <t>Jeudi</t>
  </si>
  <si>
    <t>Vendredi</t>
  </si>
  <si>
    <t>Samedi</t>
  </si>
  <si>
    <t>Jours</t>
  </si>
  <si>
    <t>Étiquettes de lignes</t>
  </si>
  <si>
    <t>Total général</t>
  </si>
  <si>
    <r>
      <t>Liste</t>
    </r>
    <r>
      <rPr>
        <sz val="14"/>
        <color theme="4"/>
        <rFont val="Arial Rounded MT Bold"/>
        <family val="2"/>
      </rPr>
      <t xml:space="preserve"> des sorties :</t>
    </r>
  </si>
  <si>
    <t>Somme de Quantité2</t>
  </si>
  <si>
    <t>MAX</t>
  </si>
  <si>
    <t>Somme de Total2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</si>
</sst>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  <numFmt numFmtId="165" formatCode="_-* #,##0\ &quot;€&quot;_-;\-* #,##0\ &quot;€&quot;_-;_-* &quot;-&quot;??\ &quot;€&quot;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name val="Arial Rounded MT Bold"/>
      <family val="2"/>
    </font>
    <font>
      <sz val="14"/>
      <color theme="4"/>
      <name val="Arial Rounded MT Bold"/>
      <family val="2"/>
    </font>
    <font>
      <sz val="10"/>
      <color theme="1"/>
      <name val="Arial Rounded MT Bold"/>
      <family val="2"/>
    </font>
    <font>
      <sz val="14"/>
      <color theme="1"/>
      <name val="Arial Rounded MT Bold"/>
      <family val="2"/>
    </font>
    <font>
      <sz val="8"/>
      <name val="Calibri"/>
      <family val="2"/>
      <scheme val="minor"/>
    </font>
    <font>
      <sz val="10"/>
      <color theme="1" tint="0.249977111117893"/>
      <name val="Arial Rounded MT Bold"/>
      <family val="2"/>
    </font>
    <font>
      <sz val="11"/>
      <color theme="4"/>
      <name val="Franklin Gothic Demi"/>
      <family val="2"/>
    </font>
    <font>
      <sz val="12"/>
      <color theme="4"/>
      <name val="Franklin Gothic Demi Cond"/>
      <family val="2"/>
    </font>
    <font>
      <sz val="11"/>
      <color theme="0"/>
      <name val="Calibri"/>
      <family val="2"/>
      <scheme val="minor"/>
    </font>
    <font>
      <sz val="11"/>
      <color theme="4"/>
      <name val="Franklin Gothic Demi Cond"/>
      <family val="2"/>
    </font>
    <font>
      <sz val="14"/>
      <color theme="4" tint="-0.249977111117893"/>
      <name val="Arial Rounded MT Bold"/>
      <family val="2"/>
    </font>
    <font>
      <sz val="11"/>
      <color rgb="FF0070C0"/>
      <name val="Franklin Gothic Dem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3" borderId="0" xfId="0" applyFont="1" applyFill="1" applyAlignment="1">
      <alignment horizontal="right"/>
    </xf>
    <xf numFmtId="0" fontId="5" fillId="3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8" fillId="3" borderId="1" xfId="0" applyFont="1" applyFill="1" applyBorder="1"/>
    <xf numFmtId="164" fontId="8" fillId="3" borderId="1" xfId="0" applyNumberFormat="1" applyFont="1" applyFill="1" applyBorder="1"/>
    <xf numFmtId="0" fontId="9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10" fillId="3" borderId="0" xfId="0" applyFont="1" applyFill="1"/>
    <xf numFmtId="0" fontId="1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164" fontId="11" fillId="3" borderId="0" xfId="0" applyNumberFormat="1" applyFont="1" applyFill="1" applyAlignment="1">
      <alignment horizontal="left"/>
    </xf>
    <xf numFmtId="164" fontId="11" fillId="3" borderId="0" xfId="0" applyNumberFormat="1" applyFont="1" applyFill="1" applyAlignment="1">
      <alignment horizontal="center"/>
    </xf>
    <xf numFmtId="14" fontId="9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 vertical="center"/>
    </xf>
    <xf numFmtId="14" fontId="9" fillId="3" borderId="0" xfId="0" applyNumberFormat="1" applyFont="1" applyFill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0" fillId="4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7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64" fontId="8" fillId="3" borderId="0" xfId="0" applyNumberFormat="1" applyFont="1" applyFill="1" applyAlignment="1">
      <alignment horizontal="left"/>
    </xf>
    <xf numFmtId="0" fontId="4" fillId="3" borderId="0" xfId="0" applyFont="1" applyFill="1"/>
    <xf numFmtId="0" fontId="13" fillId="3" borderId="0" xfId="0" applyFont="1" applyFill="1" applyAlignment="1">
      <alignment vertical="center"/>
    </xf>
    <xf numFmtId="164" fontId="13" fillId="3" borderId="0" xfId="0" applyNumberFormat="1" applyFont="1" applyFill="1" applyAlignment="1">
      <alignment horizontal="center"/>
    </xf>
    <xf numFmtId="14" fontId="13" fillId="3" borderId="0" xfId="0" applyNumberFormat="1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2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2" fillId="3" borderId="0" xfId="0" applyFont="1" applyFill="1"/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theme="1" tint="0.24994659260841701"/>
      </font>
    </dxf>
    <dxf>
      <font>
        <color rgb="FF00B050"/>
      </font>
    </dxf>
    <dxf>
      <font>
        <color rgb="FFFFFF00"/>
      </font>
    </dxf>
    <dxf>
      <font>
        <color theme="9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65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Franklin Gothic Demi Con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Arial Rounded MT Bold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Franklin Gothic Demi Con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automatique).xlsm]Traitement!StockTotalCategorie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A6-43C2-823A-ED6BBCA154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A6-43C2-823A-ED6BBCA154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A6-43C2-823A-ED6BBCA154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A6-43C2-823A-ED6BBCA154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A6-43C2-823A-ED6BBCA154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Demi" panose="020B0703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Traitement!$A$17:$A$22</c:f>
              <c:strCache>
                <c:ptCount val="5"/>
                <c:pt idx="0">
                  <c:v>100</c:v>
                </c:pt>
                <c:pt idx="1">
                  <c:v>Biscuits</c:v>
                </c:pt>
                <c:pt idx="2">
                  <c:v>Consoles</c:v>
                </c:pt>
                <c:pt idx="3">
                  <c:v>Electro</c:v>
                </c:pt>
                <c:pt idx="4">
                  <c:v>SmartPhone</c:v>
                </c:pt>
              </c:strCache>
            </c:strRef>
          </c:cat>
          <c:val>
            <c:numRef>
              <c:f>Traitement!$B$17:$B$22</c:f>
              <c:numCache>
                <c:formatCode>General</c:formatCode>
                <c:ptCount val="5"/>
                <c:pt idx="0">
                  <c:v>69</c:v>
                </c:pt>
                <c:pt idx="1">
                  <c:v>78</c:v>
                </c:pt>
                <c:pt idx="2">
                  <c:v>7</c:v>
                </c:pt>
                <c:pt idx="3">
                  <c:v>36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A6-43C2-823A-ED6BBCA154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automatique).xlsm]Traitement!categorieValeur</c:name>
    <c:fmtId val="23"/>
  </c:pivotSource>
  <c:chart>
    <c:autoTitleDeleted val="1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1217-4143-B289-83351153B7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1217-4143-B289-83351153B7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1217-4143-B289-83351153B7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1217-4143-B289-83351153B7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1217-4143-B289-83351153B7F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_-* #\ ##0.00\ [$€-40C]_-;\-* #\ ##0.00\ [$€-40C]_-;_-* "-"??\ [$€-40C]_-;_-@_-</c:formatCode>
                <c:ptCount val="4"/>
                <c:pt idx="0">
                  <c:v>28.6</c:v>
                </c:pt>
                <c:pt idx="1">
                  <c:v>8400</c:v>
                </c:pt>
                <c:pt idx="2">
                  <c:v>5940</c:v>
                </c:pt>
                <c:pt idx="3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17-4143-B289-83351153B7F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automatique).xlsm]Traitement!TOtalEntreCategorie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50" b="0">
                <a:solidFill>
                  <a:srgbClr val="0070C0"/>
                </a:solidFill>
                <a:latin typeface="Franklin Gothic Demi" panose="020B0703020102020204" pitchFamily="34" charset="0"/>
              </a:rPr>
              <a:t>Total</a:t>
            </a:r>
            <a:r>
              <a:rPr lang="fr-FR" sz="1050" b="0" baseline="0">
                <a:solidFill>
                  <a:srgbClr val="0070C0"/>
                </a:solidFill>
                <a:latin typeface="Franklin Gothic Demi" panose="020B0703020102020204" pitchFamily="34" charset="0"/>
              </a:rPr>
              <a:t> des entrées par catégorie</a:t>
            </a:r>
            <a:endParaRPr lang="fr-FR" sz="1100" b="0">
              <a:solidFill>
                <a:srgbClr val="0070C0"/>
              </a:solidFill>
              <a:latin typeface="Franklin Gothic Demi" panose="020B0703020102020204" pitchFamily="34" charset="0"/>
            </a:endParaRPr>
          </a:p>
        </c:rich>
      </c:tx>
      <c:layout>
        <c:manualLayout>
          <c:xMode val="edge"/>
          <c:yMode val="edge"/>
          <c:x val="0.23886352213467221"/>
          <c:y val="0.1354589156915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5.555555555555555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2.7777777777778286E-3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5.09259259259259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0.282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5.09259259259259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2.7777777777778286E-3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5.555555555555555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0.282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5.09259259259259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2.7778590341250064E-3"/>
              <c:y val="-0.176806156802176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5.5554964600304018E-3"/>
              <c:y val="-0.154282905573054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0.219353247807481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Traitement!$B$32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7B-46FD-9CE9-35CF903F935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7B-46FD-9CE9-35CF903F935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7B-46FD-9CE9-35CF903F935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7B-46FD-9CE9-35CF903F9350}"/>
              </c:ext>
            </c:extLst>
          </c:dPt>
          <c:dLbls>
            <c:dLbl>
              <c:idx val="0"/>
              <c:layout>
                <c:manualLayout>
                  <c:x val="0"/>
                  <c:y val="-5.09259259259259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B-46FD-9CE9-35CF903F9350}"/>
                </c:ext>
              </c:extLst>
            </c:dLbl>
            <c:dLbl>
              <c:idx val="1"/>
              <c:layout>
                <c:manualLayout>
                  <c:x val="-2.7778590341250064E-3"/>
                  <c:y val="-0.1768061568021766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B-46FD-9CE9-35CF903F9350}"/>
                </c:ext>
              </c:extLst>
            </c:dLbl>
            <c:dLbl>
              <c:idx val="2"/>
              <c:layout>
                <c:manualLayout>
                  <c:x val="-5.5554964600304018E-3"/>
                  <c:y val="-0.1542829055730545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7B-46FD-9CE9-35CF903F9350}"/>
                </c:ext>
              </c:extLst>
            </c:dLbl>
            <c:dLbl>
              <c:idx val="3"/>
              <c:layout>
                <c:manualLayout>
                  <c:x val="0"/>
                  <c:y val="-0.2193532478074811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7B-46FD-9CE9-35CF903F93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Franklin Gothic Demi" panose="020B0703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Traitement!$A$33:$A$37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Ordinateur</c:v>
                </c:pt>
              </c:strCache>
            </c:strRef>
          </c:cat>
          <c:val>
            <c:numRef>
              <c:f>Traitement!$B$33:$B$37</c:f>
              <c:numCache>
                <c:formatCode>_("€"* #,##0.00_);_("€"* \(#,##0.00\);_("€"* "-"??_);_(@_)</c:formatCode>
                <c:ptCount val="4"/>
                <c:pt idx="0">
                  <c:v>2</c:v>
                </c:pt>
                <c:pt idx="1">
                  <c:v>1200</c:v>
                </c:pt>
                <c:pt idx="2">
                  <c:v>1050</c:v>
                </c:pt>
                <c:pt idx="3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7B-46FD-9CE9-35CF903F93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16236080"/>
        <c:axId val="616248560"/>
      </c:barChart>
      <c:catAx>
        <c:axId val="61623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fr-FR" sz="1050" b="0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Franklin Gothic Demi" panose="020B0703020102020204" pitchFamily="34" charset="0"/>
                    <a:ea typeface="+mn-ea"/>
                    <a:cs typeface="+mn-cs"/>
                  </a:defRPr>
                </a:pPr>
                <a:r>
                  <a:rPr lang="fr-FR" sz="1050" b="0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Franklin Gothic Demi" panose="020B0703020102020204" pitchFamily="34" charset="0"/>
                    <a:ea typeface="+mn-ea"/>
                    <a:cs typeface="+mn-cs"/>
                  </a:rPr>
                  <a:t>Catégorie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fr-FR" sz="1050" b="0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Franklin Gothic Demi" panose="020B0703020102020204" pitchFamily="34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248560"/>
        <c:crosses val="autoZero"/>
        <c:auto val="1"/>
        <c:lblAlgn val="ctr"/>
        <c:lblOffset val="100"/>
        <c:noMultiLvlLbl val="0"/>
      </c:catAx>
      <c:valAx>
        <c:axId val="6162485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 b="0">
                    <a:latin typeface="Franklin Gothic Demi" panose="020B0703020102020204" pitchFamily="34" charset="0"/>
                  </a:rPr>
                  <a:t>Valeurs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61623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automatique).xlsm]Traitement!TotalSortieCategorie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100">
                <a:solidFill>
                  <a:srgbClr val="0070C0"/>
                </a:solidFill>
                <a:latin typeface="Franklin Gothic Demi" panose="020B0703020102020204" pitchFamily="34" charset="0"/>
              </a:rPr>
              <a:t>Total des sorties par catégories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Traitement!$E$39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Traitement!$D$40:$D$45</c:f>
              <c:strCache>
                <c:ptCount val="5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Ordinateur</c:v>
                </c:pt>
                <c:pt idx="4">
                  <c:v>SmartPhone</c:v>
                </c:pt>
              </c:strCache>
            </c:strRef>
          </c:cat>
          <c:val>
            <c:numRef>
              <c:f>Traitement!$E$40:$E$45</c:f>
              <c:numCache>
                <c:formatCode>_("€"* #,##0.00_);_("€"* \(#,##0.00\);_("€"* "-"??_);_(@_)</c:formatCode>
                <c:ptCount val="5"/>
                <c:pt idx="0">
                  <c:v>14</c:v>
                </c:pt>
                <c:pt idx="1">
                  <c:v>1200</c:v>
                </c:pt>
                <c:pt idx="2">
                  <c:v>300</c:v>
                </c:pt>
                <c:pt idx="3">
                  <c:v>1800</c:v>
                </c:pt>
                <c:pt idx="4">
                  <c:v>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0-4D78-89AB-C187F4555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185264"/>
        <c:axId val="107190064"/>
      </c:barChart>
      <c:catAx>
        <c:axId val="1071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90064"/>
        <c:crosses val="autoZero"/>
        <c:auto val="1"/>
        <c:lblAlgn val="ctr"/>
        <c:lblOffset val="100"/>
        <c:noMultiLvlLbl val="0"/>
      </c:catAx>
      <c:valAx>
        <c:axId val="10719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8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automatique).xlsm]Traitement!QuantiteEntreCategorie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cap="all" spc="100" normalizeH="0" baseline="0">
                <a:solidFill>
                  <a:schemeClr val="lt1"/>
                </a:solidFill>
                <a:latin typeface="Franklin Gothic Demi" panose="020B0703020102020204" pitchFamily="34" charset="0"/>
                <a:ea typeface="+mn-ea"/>
                <a:cs typeface="+mn-cs"/>
              </a:defRPr>
            </a:pPr>
            <a:r>
              <a:rPr lang="en-US" sz="1100" b="0">
                <a:latin typeface="Franklin Gothic Demi" panose="020B0703020102020204" pitchFamily="34" charset="0"/>
              </a:rPr>
              <a:t>qUANTITE</a:t>
            </a:r>
            <a:r>
              <a:rPr lang="en-US" sz="1100" b="0" baseline="0">
                <a:latin typeface="Franklin Gothic Demi" panose="020B0703020102020204" pitchFamily="34" charset="0"/>
              </a:rPr>
              <a:t> DES ENTREES</a:t>
            </a:r>
            <a:endParaRPr lang="en-US" sz="1100" b="0">
              <a:latin typeface="Franklin Gothic Demi" panose="020B0703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cap="all" spc="100" normalizeH="0" baseline="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Traitement!$E$32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Traitement!$D$33:$D$37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Ordinateur</c:v>
                </c:pt>
              </c:strCache>
            </c:strRef>
          </c:cat>
          <c:val>
            <c:numRef>
              <c:f>Traitement!$E$33:$E$37</c:f>
              <c:numCache>
                <c:formatCode>General</c:formatCode>
                <c:ptCount val="4"/>
                <c:pt idx="0">
                  <c:v>10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9-42F8-9C1F-A51A81028E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107157424"/>
        <c:axId val="107155024"/>
      </c:areaChart>
      <c:catAx>
        <c:axId val="1071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55024"/>
        <c:crosses val="autoZero"/>
        <c:auto val="1"/>
        <c:lblAlgn val="ctr"/>
        <c:lblOffset val="100"/>
        <c:noMultiLvlLbl val="0"/>
      </c:catAx>
      <c:valAx>
        <c:axId val="107155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7157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automatique).xlsm]Traitement!QuantitéSortieCategorie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0">
                <a:solidFill>
                  <a:srgbClr val="0070C0"/>
                </a:solidFill>
                <a:latin typeface="Franklin Gothic Demi" panose="020B0703020102020204" pitchFamily="34" charset="0"/>
              </a:rPr>
              <a:t>QUANTITE</a:t>
            </a:r>
            <a:r>
              <a:rPr lang="en-US" sz="1200" b="0" baseline="0">
                <a:solidFill>
                  <a:srgbClr val="0070C0"/>
                </a:solidFill>
                <a:latin typeface="Franklin Gothic Demi" panose="020B0703020102020204" pitchFamily="34" charset="0"/>
              </a:rPr>
              <a:t> DES SORTIES</a:t>
            </a:r>
            <a:endParaRPr lang="en-US" sz="1200" b="0">
              <a:solidFill>
                <a:srgbClr val="0070C0"/>
              </a:solidFill>
              <a:latin typeface="Franklin Gothic Demi" panose="020B0703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Traitement!$A$40:$A$45</c:f>
              <c:strCache>
                <c:ptCount val="5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Ordinateur</c:v>
                </c:pt>
                <c:pt idx="4">
                  <c:v>SmartPhone</c:v>
                </c:pt>
              </c:strCache>
            </c:strRef>
          </c:cat>
          <c:val>
            <c:numRef>
              <c:f>Traitement!$B$40:$B$45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4FB-8F77-33D2AA82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07182384"/>
        <c:axId val="107182864"/>
      </c:areaChart>
      <c:catAx>
        <c:axId val="1071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82864"/>
        <c:crosses val="autoZero"/>
        <c:auto val="1"/>
        <c:lblAlgn val="ctr"/>
        <c:lblOffset val="100"/>
        <c:noMultiLvlLbl val="0"/>
      </c:catAx>
      <c:valAx>
        <c:axId val="1071828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8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Pic</a:t>
            </a:r>
            <a:r>
              <a:rPr lang="fr-FR" baseline="0"/>
              <a:t> d'achats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Traitement!$E$49:$E$53</c:f>
              <c:numCache>
                <c:formatCode>m/d/yyyy</c:formatCode>
                <c:ptCount val="5"/>
                <c:pt idx="0">
                  <c:v>46206</c:v>
                </c:pt>
                <c:pt idx="1">
                  <c:v>46207</c:v>
                </c:pt>
                <c:pt idx="2">
                  <c:v>46208</c:v>
                </c:pt>
                <c:pt idx="3">
                  <c:v>46209</c:v>
                </c:pt>
                <c:pt idx="4">
                  <c:v>46210</c:v>
                </c:pt>
              </c:numCache>
            </c:numRef>
          </c:cat>
          <c:val>
            <c:numRef>
              <c:f>Traitement!$F$49:$F$53</c:f>
              <c:numCache>
                <c:formatCode>General</c:formatCode>
                <c:ptCount val="5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D-420D-948E-8D19DC5C2ED2}"/>
            </c:ext>
          </c:extLst>
        </c:ser>
        <c:ser>
          <c:idx val="1"/>
          <c:order val="1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Traitement!$E$49:$E$53</c:f>
              <c:numCache>
                <c:formatCode>m/d/yyyy</c:formatCode>
                <c:ptCount val="5"/>
                <c:pt idx="0">
                  <c:v>46206</c:v>
                </c:pt>
                <c:pt idx="1">
                  <c:v>46207</c:v>
                </c:pt>
                <c:pt idx="2">
                  <c:v>46208</c:v>
                </c:pt>
                <c:pt idx="3">
                  <c:v>46209</c:v>
                </c:pt>
                <c:pt idx="4">
                  <c:v>46210</c:v>
                </c:pt>
              </c:numCache>
            </c:numRef>
          </c:cat>
          <c:val>
            <c:numRef>
              <c:f>Traitement!$G$49:$G$53</c:f>
              <c:numCache>
                <c:formatCode>General</c:formatCode>
                <c:ptCount val="5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D-420D-948E-8D19DC5C2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16251440"/>
        <c:axId val="616252880"/>
      </c:barChart>
      <c:dateAx>
        <c:axId val="616251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252880"/>
        <c:crosses val="autoZero"/>
        <c:auto val="1"/>
        <c:lblOffset val="100"/>
        <c:baseTimeUnit val="days"/>
      </c:dateAx>
      <c:valAx>
        <c:axId val="61625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25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Pic de ventes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481722079181705"/>
          <c:y val="0.34177440501347878"/>
          <c:w val="0.80049738873287823"/>
          <c:h val="0.56918210037668127"/>
        </c:manualLayout>
      </c:layout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Traitement!$E$61:$E$64</c:f>
              <c:numCache>
                <c:formatCode>m/d/yyyy</c:formatCode>
                <c:ptCount val="4"/>
                <c:pt idx="0">
                  <c:v>46213</c:v>
                </c:pt>
                <c:pt idx="1">
                  <c:v>46214</c:v>
                </c:pt>
                <c:pt idx="2">
                  <c:v>46215</c:v>
                </c:pt>
                <c:pt idx="3">
                  <c:v>46216</c:v>
                </c:pt>
              </c:numCache>
            </c:numRef>
          </c:cat>
          <c:val>
            <c:numRef>
              <c:f>Traitement!$F$61:$F$64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5A0-BF1F-2BD93CF5DA9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Traitement!$E$61:$E$64</c:f>
              <c:numCache>
                <c:formatCode>m/d/yyyy</c:formatCode>
                <c:ptCount val="4"/>
                <c:pt idx="0">
                  <c:v>46213</c:v>
                </c:pt>
                <c:pt idx="1">
                  <c:v>46214</c:v>
                </c:pt>
                <c:pt idx="2">
                  <c:v>46215</c:v>
                </c:pt>
                <c:pt idx="3">
                  <c:v>46216</c:v>
                </c:pt>
              </c:numCache>
            </c:numRef>
          </c:cat>
          <c:val>
            <c:numRef>
              <c:f>Traitement!$G$61:$G$64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D-45A0-BF1F-2BD93CF5D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49744"/>
        <c:axId val="107159344"/>
      </c:areaChart>
      <c:dateAx>
        <c:axId val="107149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59344"/>
        <c:crosses val="autoZero"/>
        <c:auto val="1"/>
        <c:lblOffset val="100"/>
        <c:baseTimeUnit val="days"/>
      </c:dateAx>
      <c:valAx>
        <c:axId val="1071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4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[Classeur1(Récupération automatique).xlsm]Traitement!Tableau croisé dynamique14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>
                <a:latin typeface="Franklin Gothic Demi" panose="020B0703020102020204" pitchFamily="34" charset="0"/>
              </a:rPr>
              <a:t>Total</a:t>
            </a:r>
            <a:r>
              <a:rPr lang="fr-FR" sz="1200" b="0" baseline="0">
                <a:latin typeface="Franklin Gothic Demi" panose="020B0703020102020204" pitchFamily="34" charset="0"/>
              </a:rPr>
              <a:t> des entrées</a:t>
            </a:r>
            <a:endParaRPr lang="fr-FR" sz="1200" b="0">
              <a:latin typeface="Franklin Gothic Demi" panose="020B0703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Traitement!$B$69</c:f>
              <c:strCache>
                <c:ptCount val="1"/>
                <c:pt idx="0">
                  <c:v>Somme de 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Traitement!$A$70:$A$75</c:f>
              <c:strCache>
                <c:ptCount val="5"/>
                <c:pt idx="0">
                  <c:v>03/07/2026</c:v>
                </c:pt>
                <c:pt idx="1">
                  <c:v>04/07/2026</c:v>
                </c:pt>
                <c:pt idx="2">
                  <c:v>05/07/2026</c:v>
                </c:pt>
                <c:pt idx="3">
                  <c:v>06/07/2026</c:v>
                </c:pt>
                <c:pt idx="4">
                  <c:v>07/07/2026</c:v>
                </c:pt>
              </c:strCache>
            </c:strRef>
          </c:cat>
          <c:val>
            <c:numRef>
              <c:f>Traitement!$B$70:$B$75</c:f>
              <c:numCache>
                <c:formatCode>_-* #\ ##0\ "€"_-;\-* #\ ##0\ "€"_-;_-* "-"??\ "€"_-;_-@_-</c:formatCode>
                <c:ptCount val="5"/>
                <c:pt idx="0">
                  <c:v>2</c:v>
                </c:pt>
                <c:pt idx="1">
                  <c:v>1800</c:v>
                </c:pt>
                <c:pt idx="2">
                  <c:v>1200</c:v>
                </c:pt>
                <c:pt idx="3">
                  <c:v>600</c:v>
                </c:pt>
                <c:pt idx="4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6-4595-A8F7-B1A3FAAE486B}"/>
            </c:ext>
          </c:extLst>
        </c:ser>
        <c:ser>
          <c:idx val="1"/>
          <c:order val="1"/>
          <c:tx>
            <c:strRef>
              <c:f>Traitement!$C$69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Traitement!$A$70:$A$75</c:f>
              <c:strCache>
                <c:ptCount val="5"/>
                <c:pt idx="0">
                  <c:v>03/07/2026</c:v>
                </c:pt>
                <c:pt idx="1">
                  <c:v>04/07/2026</c:v>
                </c:pt>
                <c:pt idx="2">
                  <c:v>05/07/2026</c:v>
                </c:pt>
                <c:pt idx="3">
                  <c:v>06/07/2026</c:v>
                </c:pt>
                <c:pt idx="4">
                  <c:v>07/07/2026</c:v>
                </c:pt>
              </c:strCache>
            </c:strRef>
          </c:cat>
          <c:val>
            <c:numRef>
              <c:f>Traitement!$C$70:$C$75</c:f>
              <c:numCache>
                <c:formatCode>_-* #\ ##0\ "€"_-;\-* #\ ##0\ "€"_-;_-* "-"??\ "€"_-;_-@_-</c:formatCode>
                <c:ptCount val="5"/>
                <c:pt idx="0">
                  <c:v>2</c:v>
                </c:pt>
                <c:pt idx="1">
                  <c:v>1800</c:v>
                </c:pt>
                <c:pt idx="2">
                  <c:v>1200</c:v>
                </c:pt>
                <c:pt idx="3">
                  <c:v>600</c:v>
                </c:pt>
                <c:pt idx="4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6-4595-A8F7-B1A3FAAE486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183824"/>
        <c:axId val="107174704"/>
      </c:lineChart>
      <c:catAx>
        <c:axId val="10718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74704"/>
        <c:crosses val="autoZero"/>
        <c:auto val="1"/>
        <c:lblAlgn val="ctr"/>
        <c:lblOffset val="100"/>
        <c:noMultiLvlLbl val="0"/>
      </c:catAx>
      <c:valAx>
        <c:axId val="107174704"/>
        <c:scaling>
          <c:orientation val="minMax"/>
        </c:scaling>
        <c:delete val="1"/>
        <c:axPos val="l"/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crossAx val="10718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935182</xdr:colOff>
      <xdr:row>15</xdr:row>
      <xdr:rowOff>0</xdr:rowOff>
    </xdr:from>
    <xdr:to>
      <xdr:col>8</xdr:col>
      <xdr:colOff>640773</xdr:colOff>
      <xdr:row>16</xdr:row>
      <xdr:rowOff>173182</xdr:rowOff>
    </xdr:to>
    <xdr:sp macro="[0]!AjouterEntr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BA214D7-D20F-D0D2-24B0-E8AD97F0A049}"/>
            </a:ext>
          </a:extLst>
        </xdr:cNvPr>
        <xdr:cNvSpPr/>
      </xdr:nvSpPr>
      <xdr:spPr>
        <a:xfrm>
          <a:off x="6321137" y="4641273"/>
          <a:ext cx="95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latin typeface="Arial Rounded MT Bold" panose="020F0704030504030204" pitchFamily="34" charset="0"/>
            </a:rPr>
            <a:t>Entrée</a:t>
          </a:r>
        </a:p>
      </xdr:txBody>
    </xdr:sp>
    <xdr:clientData/>
  </xdr:twoCellAnchor>
  <xdr:twoCellAnchor>
    <xdr:from>
      <xdr:col>8</xdr:col>
      <xdr:colOff>831272</xdr:colOff>
      <xdr:row>14</xdr:row>
      <xdr:rowOff>199159</xdr:rowOff>
    </xdr:from>
    <xdr:to>
      <xdr:col>9</xdr:col>
      <xdr:colOff>0</xdr:colOff>
      <xdr:row>16</xdr:row>
      <xdr:rowOff>164523</xdr:rowOff>
    </xdr:to>
    <xdr:sp macro="[0]!AjouterSorti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8977804-654B-1C44-0254-A96E5EDEA4D9}"/>
            </a:ext>
          </a:extLst>
        </xdr:cNvPr>
        <xdr:cNvSpPr/>
      </xdr:nvSpPr>
      <xdr:spPr>
        <a:xfrm>
          <a:off x="7464136" y="4632614"/>
          <a:ext cx="95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latin typeface="Arial Rounded MT Bold" panose="020F070403050403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6</xdr:col>
      <xdr:colOff>805295</xdr:colOff>
      <xdr:row>16</xdr:row>
      <xdr:rowOff>155863</xdr:rowOff>
    </xdr:to>
    <xdr:sp macro="[0]!Macro1Annule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D9DDDA1-97BE-5DA4-F1BE-BD12F97774D4}"/>
            </a:ext>
          </a:extLst>
        </xdr:cNvPr>
        <xdr:cNvSpPr/>
      </xdr:nvSpPr>
      <xdr:spPr>
        <a:xfrm>
          <a:off x="3411682" y="4641273"/>
          <a:ext cx="805295" cy="36368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latin typeface="Arial Rounded MT Bold" panose="020F0704030504030204" pitchFamily="34" charset="0"/>
            </a:rPr>
            <a:t>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923925</xdr:colOff>
      <xdr:row>9</xdr:row>
      <xdr:rowOff>114300</xdr:rowOff>
    </xdr:from>
    <xdr:to>
      <xdr:col>5</xdr:col>
      <xdr:colOff>411000</xdr:colOff>
      <xdr:row>10</xdr:row>
      <xdr:rowOff>219075</xdr:rowOff>
    </xdr:to>
    <xdr:sp macro="[0]!Macro1annulerMarchandis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90E45DB-6192-B37B-4C98-AB6AF01DEEC6}"/>
            </a:ext>
          </a:extLst>
        </xdr:cNvPr>
        <xdr:cNvSpPr/>
      </xdr:nvSpPr>
      <xdr:spPr>
        <a:xfrm>
          <a:off x="5191125" y="1952625"/>
          <a:ext cx="801525" cy="304800"/>
        </a:xfrm>
        <a:prstGeom prst="roundRect">
          <a:avLst>
            <a:gd name="adj" fmla="val 0"/>
          </a:avLst>
        </a:prstGeom>
        <a:solidFill>
          <a:srgbClr val="FF0000"/>
        </a:solidFill>
        <a:ln>
          <a:noFill/>
        </a:ln>
        <a:effectLst>
          <a:glow rad="38100">
            <a:schemeClr val="accent1">
              <a:lumMod val="20000"/>
              <a:lumOff val="80000"/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kern="1200">
              <a:latin typeface="Arial Black" panose="020B0A04020102020204" pitchFamily="34" charset="0"/>
            </a:rPr>
            <a:t>Annuler</a:t>
          </a:r>
        </a:p>
      </xdr:txBody>
    </xdr:sp>
    <xdr:clientData/>
  </xdr:twoCellAnchor>
  <xdr:twoCellAnchor>
    <xdr:from>
      <xdr:col>5</xdr:col>
      <xdr:colOff>514350</xdr:colOff>
      <xdr:row>9</xdr:row>
      <xdr:rowOff>104775</xdr:rowOff>
    </xdr:from>
    <xdr:to>
      <xdr:col>6</xdr:col>
      <xdr:colOff>1425</xdr:colOff>
      <xdr:row>10</xdr:row>
      <xdr:rowOff>209550</xdr:rowOff>
    </xdr:to>
    <xdr:sp macro="[0]!Macro1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52B8C73-8114-FA2C-6C67-E916B05438A8}"/>
            </a:ext>
          </a:extLst>
        </xdr:cNvPr>
        <xdr:cNvSpPr/>
      </xdr:nvSpPr>
      <xdr:spPr>
        <a:xfrm>
          <a:off x="6096000" y="1943100"/>
          <a:ext cx="801525" cy="304800"/>
        </a:xfrm>
        <a:prstGeom prst="roundRect">
          <a:avLst>
            <a:gd name="adj" fmla="val 0"/>
          </a:avLst>
        </a:prstGeom>
        <a:solidFill>
          <a:schemeClr val="accent1">
            <a:lumMod val="75000"/>
          </a:schemeClr>
        </a:solidFill>
        <a:ln>
          <a:noFill/>
        </a:ln>
        <a:effectLst>
          <a:glow rad="38100">
            <a:schemeClr val="accent1">
              <a:lumMod val="20000"/>
              <a:lumOff val="80000"/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kern="1200">
              <a:latin typeface="Arial Black" panose="020B0A04020102020204" pitchFamily="34" charset="0"/>
            </a:rPr>
            <a:t>Ajouter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257175</xdr:colOff>
      <xdr:row>1</xdr:row>
      <xdr:rowOff>57150</xdr:rowOff>
    </xdr:from>
    <xdr:to>
      <xdr:col>12</xdr:col>
      <xdr:colOff>561975</xdr:colOff>
      <xdr:row>14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égories">
              <a:extLst>
                <a:ext uri="{FF2B5EF4-FFF2-40B4-BE49-F238E27FC236}">
                  <a16:creationId xmlns:a16="http://schemas.microsoft.com/office/drawing/2014/main" id="{708D2FB0-7034-31FB-6A66-BF437123B2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29825" y="247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226220</xdr:colOff>
      <xdr:row>0</xdr:row>
      <xdr:rowOff>169069</xdr:rowOff>
    </xdr:from>
    <xdr:to>
      <xdr:col>5</xdr:col>
      <xdr:colOff>35720</xdr:colOff>
      <xdr:row>4</xdr:row>
      <xdr:rowOff>178594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675B358-EF4C-7107-C780-6C28E2B3F921}"/>
            </a:ext>
          </a:extLst>
        </xdr:cNvPr>
        <xdr:cNvSpPr/>
      </xdr:nvSpPr>
      <xdr:spPr>
        <a:xfrm>
          <a:off x="1607345" y="169069"/>
          <a:ext cx="2095500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 sz="1600">
              <a:latin typeface="Franklin Gothic Demi" panose="020B0703020102020204" pitchFamily="34" charset="0"/>
            </a:rPr>
            <a:t>196</a:t>
          </a:r>
        </a:p>
      </xdr:txBody>
    </xdr:sp>
    <xdr:clientData/>
  </xdr:twoCellAnchor>
  <xdr:twoCellAnchor>
    <xdr:from>
      <xdr:col>5</xdr:col>
      <xdr:colOff>169069</xdr:colOff>
      <xdr:row>0</xdr:row>
      <xdr:rowOff>169069</xdr:rowOff>
    </xdr:from>
    <xdr:to>
      <xdr:col>7</xdr:col>
      <xdr:colOff>673894</xdr:colOff>
      <xdr:row>4</xdr:row>
      <xdr:rowOff>178594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41AB95-C282-5CCF-04C5-218B5482C55C}"/>
            </a:ext>
          </a:extLst>
        </xdr:cNvPr>
        <xdr:cNvSpPr/>
      </xdr:nvSpPr>
      <xdr:spPr>
        <a:xfrm>
          <a:off x="3836194" y="169069"/>
          <a:ext cx="2028825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 sz="1600">
              <a:latin typeface="Franklin Gothic Demi" panose="020B0703020102020204" pitchFamily="34" charset="0"/>
            </a:rPr>
            <a:t> 20 </a:t>
          </a:r>
          <a:r>
            <a:rPr lang="en-US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706,60</a:t>
          </a:r>
          <a:r>
            <a:rPr lang="en-US" sz="1600">
              <a:latin typeface="Franklin Gothic Demi" panose="020B0703020102020204" pitchFamily="34" charset="0"/>
            </a:rPr>
            <a:t> € </a:t>
          </a:r>
        </a:p>
      </xdr:txBody>
    </xdr:sp>
    <xdr:clientData/>
  </xdr:twoCellAnchor>
  <xdr:twoCellAnchor>
    <xdr:from>
      <xdr:col>8</xdr:col>
      <xdr:colOff>54767</xdr:colOff>
      <xdr:row>0</xdr:row>
      <xdr:rowOff>169069</xdr:rowOff>
    </xdr:from>
    <xdr:to>
      <xdr:col>10</xdr:col>
      <xdr:colOff>559592</xdr:colOff>
      <xdr:row>4</xdr:row>
      <xdr:rowOff>178594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243F94A-74C0-E19D-B1F0-ACFEB58B09A5}"/>
            </a:ext>
          </a:extLst>
        </xdr:cNvPr>
        <xdr:cNvSpPr/>
      </xdr:nvSpPr>
      <xdr:spPr>
        <a:xfrm>
          <a:off x="6007892" y="169069"/>
          <a:ext cx="2028825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/>
            <a:t> </a:t>
          </a:r>
          <a:r>
            <a:rPr lang="en-US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18</a:t>
          </a:r>
          <a:endParaRPr lang="en-US"/>
        </a:p>
      </xdr:txBody>
    </xdr:sp>
    <xdr:clientData/>
  </xdr:twoCellAnchor>
  <xdr:twoCellAnchor>
    <xdr:from>
      <xdr:col>10</xdr:col>
      <xdr:colOff>702466</xdr:colOff>
      <xdr:row>0</xdr:row>
      <xdr:rowOff>169069</xdr:rowOff>
    </xdr:from>
    <xdr:to>
      <xdr:col>13</xdr:col>
      <xdr:colOff>445291</xdr:colOff>
      <xdr:row>4</xdr:row>
      <xdr:rowOff>178594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A2DA38A5-F6BA-EC48-CFA4-0ABBEB00F1BC}"/>
            </a:ext>
          </a:extLst>
        </xdr:cNvPr>
        <xdr:cNvSpPr/>
      </xdr:nvSpPr>
      <xdr:spPr>
        <a:xfrm>
          <a:off x="8179591" y="169069"/>
          <a:ext cx="2028825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4052 </a:t>
          </a:r>
          <a:r>
            <a:rPr lang="en-US" sz="1600">
              <a:solidFill>
                <a:schemeClr val="lt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€</a:t>
          </a:r>
          <a:r>
            <a:rPr lang="en-US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13</xdr:col>
      <xdr:colOff>559592</xdr:colOff>
      <xdr:row>0</xdr:row>
      <xdr:rowOff>169069</xdr:rowOff>
    </xdr:from>
    <xdr:to>
      <xdr:col>16</xdr:col>
      <xdr:colOff>302417</xdr:colOff>
      <xdr:row>4</xdr:row>
      <xdr:rowOff>178594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AE02D2F-972C-2057-9249-08E26BFF137A}"/>
            </a:ext>
          </a:extLst>
        </xdr:cNvPr>
        <xdr:cNvSpPr/>
      </xdr:nvSpPr>
      <xdr:spPr>
        <a:xfrm>
          <a:off x="10322717" y="169069"/>
          <a:ext cx="2028825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>
              <a:latin typeface="Franklin Gothic Demi" panose="020B0703020102020204" pitchFamily="34" charset="0"/>
            </a:rPr>
            <a:t>Total des sorties</a:t>
          </a:r>
        </a:p>
      </xdr:txBody>
    </xdr:sp>
    <xdr:clientData/>
  </xdr:twoCellAnchor>
  <xdr:twoCellAnchor>
    <xdr:from>
      <xdr:col>16</xdr:col>
      <xdr:colOff>402432</xdr:colOff>
      <xdr:row>0</xdr:row>
      <xdr:rowOff>169069</xdr:rowOff>
    </xdr:from>
    <xdr:to>
      <xdr:col>19</xdr:col>
      <xdr:colOff>145257</xdr:colOff>
      <xdr:row>4</xdr:row>
      <xdr:rowOff>178594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7E2EDA54-28A3-5732-DA7E-E41C00EAE002}"/>
            </a:ext>
          </a:extLst>
        </xdr:cNvPr>
        <xdr:cNvSpPr/>
      </xdr:nvSpPr>
      <xdr:spPr>
        <a:xfrm>
          <a:off x="12451557" y="169069"/>
          <a:ext cx="2028825" cy="771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>
              <a:latin typeface="Franklin Gothic Demi" panose="020B0703020102020204" pitchFamily="34" charset="0"/>
            </a:rPr>
            <a:t>Valeurs de sorties</a:t>
          </a:r>
        </a:p>
      </xdr:txBody>
    </xdr:sp>
    <xdr:clientData/>
  </xdr:twoCellAnchor>
  <xdr:twoCellAnchor>
    <xdr:from>
      <xdr:col>2</xdr:col>
      <xdr:colOff>71438</xdr:colOff>
      <xdr:row>5</xdr:row>
      <xdr:rowOff>95250</xdr:rowOff>
    </xdr:from>
    <xdr:to>
      <xdr:col>7</xdr:col>
      <xdr:colOff>654844</xdr:colOff>
      <xdr:row>18</xdr:row>
      <xdr:rowOff>166687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92A659A1-0BF3-3C6F-F274-1777129D9AD5}"/>
            </a:ext>
          </a:extLst>
        </xdr:cNvPr>
        <xdr:cNvSpPr/>
      </xdr:nvSpPr>
      <xdr:spPr>
        <a:xfrm>
          <a:off x="1452563" y="1047750"/>
          <a:ext cx="4393406" cy="25479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154782</xdr:colOff>
      <xdr:row>5</xdr:row>
      <xdr:rowOff>175021</xdr:rowOff>
    </xdr:from>
    <xdr:to>
      <xdr:col>19</xdr:col>
      <xdr:colOff>142876</xdr:colOff>
      <xdr:row>19</xdr:row>
      <xdr:rowOff>47624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BB55B091-F7C3-DA6D-A896-7AFA44122FE0}"/>
            </a:ext>
          </a:extLst>
        </xdr:cNvPr>
        <xdr:cNvSpPr/>
      </xdr:nvSpPr>
      <xdr:spPr>
        <a:xfrm>
          <a:off x="6107907" y="1127521"/>
          <a:ext cx="8370094" cy="253960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47625</xdr:colOff>
      <xdr:row>19</xdr:row>
      <xdr:rowOff>92868</xdr:rowOff>
    </xdr:from>
    <xdr:to>
      <xdr:col>7</xdr:col>
      <xdr:colOff>642938</xdr:colOff>
      <xdr:row>32</xdr:row>
      <xdr:rowOff>11905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33795CA-C80B-DB85-E932-856AC1E758C1}"/>
            </a:ext>
          </a:extLst>
        </xdr:cNvPr>
        <xdr:cNvSpPr/>
      </xdr:nvSpPr>
      <xdr:spPr>
        <a:xfrm>
          <a:off x="1428750" y="3712368"/>
          <a:ext cx="4405313" cy="239553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23812</xdr:colOff>
      <xdr:row>19</xdr:row>
      <xdr:rowOff>128588</xdr:rowOff>
    </xdr:from>
    <xdr:to>
      <xdr:col>13</xdr:col>
      <xdr:colOff>176212</xdr:colOff>
      <xdr:row>31</xdr:row>
      <xdr:rowOff>178594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7D8C976A-041D-F0F8-37BF-C7CBAD29AB33}"/>
            </a:ext>
          </a:extLst>
        </xdr:cNvPr>
        <xdr:cNvSpPr/>
      </xdr:nvSpPr>
      <xdr:spPr>
        <a:xfrm>
          <a:off x="5976937" y="3748088"/>
          <a:ext cx="3962400" cy="233600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438150</xdr:colOff>
      <xdr:row>19</xdr:row>
      <xdr:rowOff>59529</xdr:rowOff>
    </xdr:from>
    <xdr:to>
      <xdr:col>19</xdr:col>
      <xdr:colOff>83344</xdr:colOff>
      <xdr:row>31</xdr:row>
      <xdr:rowOff>154781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BB6CF726-E879-928F-D54F-A87DD959143B}"/>
            </a:ext>
          </a:extLst>
        </xdr:cNvPr>
        <xdr:cNvSpPr/>
      </xdr:nvSpPr>
      <xdr:spPr>
        <a:xfrm>
          <a:off x="10201275" y="3679029"/>
          <a:ext cx="4217194" cy="23812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61916</xdr:colOff>
      <xdr:row>32</xdr:row>
      <xdr:rowOff>140493</xdr:rowOff>
    </xdr:from>
    <xdr:to>
      <xdr:col>7</xdr:col>
      <xdr:colOff>559596</xdr:colOff>
      <xdr:row>46</xdr:row>
      <xdr:rowOff>47625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9D1A71C0-837B-D787-C4C6-55D77EC1931A}"/>
            </a:ext>
          </a:extLst>
        </xdr:cNvPr>
        <xdr:cNvSpPr/>
      </xdr:nvSpPr>
      <xdr:spPr>
        <a:xfrm>
          <a:off x="1443041" y="6236493"/>
          <a:ext cx="4307680" cy="257413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130970</xdr:colOff>
      <xdr:row>33</xdr:row>
      <xdr:rowOff>9523</xdr:rowOff>
    </xdr:from>
    <xdr:to>
      <xdr:col>13</xdr:col>
      <xdr:colOff>283370</xdr:colOff>
      <xdr:row>46</xdr:row>
      <xdr:rowOff>59530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C30C33CD-601D-2C48-81EA-F8AF892A554D}"/>
            </a:ext>
          </a:extLst>
        </xdr:cNvPr>
        <xdr:cNvSpPr/>
      </xdr:nvSpPr>
      <xdr:spPr>
        <a:xfrm>
          <a:off x="6084095" y="6296023"/>
          <a:ext cx="3962400" cy="25265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569120</xdr:colOff>
      <xdr:row>33</xdr:row>
      <xdr:rowOff>47625</xdr:rowOff>
    </xdr:from>
    <xdr:to>
      <xdr:col>19</xdr:col>
      <xdr:colOff>178595</xdr:colOff>
      <xdr:row>46</xdr:row>
      <xdr:rowOff>47625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D0870F76-67AD-E756-4629-32758760BD0E}"/>
            </a:ext>
          </a:extLst>
        </xdr:cNvPr>
        <xdr:cNvSpPr/>
      </xdr:nvSpPr>
      <xdr:spPr>
        <a:xfrm>
          <a:off x="10332245" y="6334125"/>
          <a:ext cx="4181475" cy="24765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18</xdr:col>
      <xdr:colOff>130968</xdr:colOff>
      <xdr:row>2</xdr:row>
      <xdr:rowOff>23812</xdr:rowOff>
    </xdr:from>
    <xdr:to>
      <xdr:col>18</xdr:col>
      <xdr:colOff>750094</xdr:colOff>
      <xdr:row>5</xdr:row>
      <xdr:rowOff>21341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41D58706-2320-C9AC-E8C4-1CEFB261E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4093" y="404812"/>
          <a:ext cx="619126" cy="569029"/>
        </a:xfrm>
        <a:prstGeom prst="rect">
          <a:avLst/>
        </a:prstGeom>
      </xdr:spPr>
    </xdr:pic>
    <xdr:clientData/>
  </xdr:twoCellAnchor>
  <xdr:twoCellAnchor editAs="oneCell">
    <xdr:from>
      <xdr:col>12</xdr:col>
      <xdr:colOff>432598</xdr:colOff>
      <xdr:row>2</xdr:row>
      <xdr:rowOff>35719</xdr:rowOff>
    </xdr:from>
    <xdr:to>
      <xdr:col>13</xdr:col>
      <xdr:colOff>298358</xdr:colOff>
      <xdr:row>5</xdr:row>
      <xdr:rowOff>5885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1086912-27AF-1530-5126-FE16E2CBB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3723" y="416719"/>
          <a:ext cx="627760" cy="541666"/>
        </a:xfrm>
        <a:prstGeom prst="rect">
          <a:avLst/>
        </a:prstGeom>
      </xdr:spPr>
    </xdr:pic>
    <xdr:clientData/>
  </xdr:twoCellAnchor>
  <xdr:twoCellAnchor editAs="oneCell">
    <xdr:from>
      <xdr:col>7</xdr:col>
      <xdr:colOff>61225</xdr:colOff>
      <xdr:row>2</xdr:row>
      <xdr:rowOff>35717</xdr:rowOff>
    </xdr:from>
    <xdr:to>
      <xdr:col>7</xdr:col>
      <xdr:colOff>607378</xdr:colOff>
      <xdr:row>4</xdr:row>
      <xdr:rowOff>168124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AE3BE075-D9A2-091D-49C9-F8C4B7B61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2350" y="416717"/>
          <a:ext cx="546153" cy="513407"/>
        </a:xfrm>
        <a:prstGeom prst="rect">
          <a:avLst/>
        </a:prstGeom>
      </xdr:spPr>
    </xdr:pic>
    <xdr:clientData/>
  </xdr:twoCellAnchor>
  <xdr:twoCellAnchor editAs="oneCell">
    <xdr:from>
      <xdr:col>15</xdr:col>
      <xdr:colOff>372246</xdr:colOff>
      <xdr:row>2</xdr:row>
      <xdr:rowOff>83342</xdr:rowOff>
    </xdr:from>
    <xdr:to>
      <xdr:col>16</xdr:col>
      <xdr:colOff>83344</xdr:colOff>
      <xdr:row>4</xdr:row>
      <xdr:rowOff>149479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ADA36D57-BB0C-9E58-3D1F-EFF265DBA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9371" y="464342"/>
          <a:ext cx="473098" cy="447137"/>
        </a:xfrm>
        <a:prstGeom prst="rect">
          <a:avLst/>
        </a:prstGeom>
      </xdr:spPr>
    </xdr:pic>
    <xdr:clientData/>
  </xdr:twoCellAnchor>
  <xdr:twoCellAnchor editAs="oneCell">
    <xdr:from>
      <xdr:col>4</xdr:col>
      <xdr:colOff>107156</xdr:colOff>
      <xdr:row>2</xdr:row>
      <xdr:rowOff>59529</xdr:rowOff>
    </xdr:from>
    <xdr:to>
      <xdr:col>5</xdr:col>
      <xdr:colOff>37907</xdr:colOff>
      <xdr:row>5</xdr:row>
      <xdr:rowOff>35718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4E5E9809-6D27-48DB-CA9F-1124FA75A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2281" y="440529"/>
          <a:ext cx="692751" cy="547689"/>
        </a:xfrm>
        <a:prstGeom prst="rect">
          <a:avLst/>
        </a:prstGeom>
      </xdr:spPr>
    </xdr:pic>
    <xdr:clientData/>
  </xdr:twoCellAnchor>
  <xdr:twoCellAnchor editAs="oneCell">
    <xdr:from>
      <xdr:col>9</xdr:col>
      <xdr:colOff>737415</xdr:colOff>
      <xdr:row>2</xdr:row>
      <xdr:rowOff>59531</xdr:rowOff>
    </xdr:from>
    <xdr:to>
      <xdr:col>10</xdr:col>
      <xdr:colOff>470106</xdr:colOff>
      <xdr:row>5</xdr:row>
      <xdr:rowOff>73109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97DD8890-EDF2-9BF7-59F7-C9FDE936C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2540" y="440531"/>
          <a:ext cx="494691" cy="585078"/>
        </a:xfrm>
        <a:prstGeom prst="rect">
          <a:avLst/>
        </a:prstGeom>
      </xdr:spPr>
    </xdr:pic>
    <xdr:clientData/>
  </xdr:twoCellAnchor>
  <xdr:oneCellAnchor>
    <xdr:from>
      <xdr:col>2</xdr:col>
      <xdr:colOff>309563</xdr:colOff>
      <xdr:row>1</xdr:row>
      <xdr:rowOff>59531</xdr:rowOff>
    </xdr:from>
    <xdr:ext cx="1393032" cy="309563"/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12A686E6-1998-82E6-37E2-816149353A21}"/>
            </a:ext>
          </a:extLst>
        </xdr:cNvPr>
        <xdr:cNvSpPr txBox="1"/>
      </xdr:nvSpPr>
      <xdr:spPr>
        <a:xfrm>
          <a:off x="1690688" y="250031"/>
          <a:ext cx="1393032" cy="3095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600">
              <a:solidFill>
                <a:schemeClr val="bg1"/>
              </a:solidFill>
              <a:latin typeface="Franklin Gothic Demi" panose="020B0703020102020204" pitchFamily="34" charset="0"/>
            </a:rPr>
            <a:t>Stock</a:t>
          </a:r>
          <a:r>
            <a:rPr lang="fr-FR" sz="1600" baseline="0">
              <a:solidFill>
                <a:schemeClr val="bg1"/>
              </a:solidFill>
              <a:latin typeface="Franklin Gothic Demi" panose="020B0703020102020204" pitchFamily="34" charset="0"/>
            </a:rPr>
            <a:t> total</a:t>
          </a:r>
          <a:endParaRPr lang="fr-FR" sz="16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oneCellAnchor>
  <xdr:oneCellAnchor>
    <xdr:from>
      <xdr:col>5</xdr:col>
      <xdr:colOff>226219</xdr:colOff>
      <xdr:row>1</xdr:row>
      <xdr:rowOff>35720</xdr:rowOff>
    </xdr:from>
    <xdr:ext cx="1797843" cy="324961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4CFE8D45-463D-16D1-3AD4-D7DB4EE7AAF0}"/>
            </a:ext>
          </a:extLst>
        </xdr:cNvPr>
        <xdr:cNvSpPr txBox="1"/>
      </xdr:nvSpPr>
      <xdr:spPr>
        <a:xfrm>
          <a:off x="3893344" y="226220"/>
          <a:ext cx="1797843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 baseline="0">
              <a:solidFill>
                <a:schemeClr val="bg1"/>
              </a:solidFill>
              <a:latin typeface="Franklin Gothic Demi" panose="020B0703020102020204" pitchFamily="34" charset="0"/>
              <a:ea typeface="+mn-ea"/>
              <a:cs typeface="+mn-cs"/>
            </a:rPr>
            <a:t>Valeur de stock</a:t>
          </a:r>
        </a:p>
      </xdr:txBody>
    </xdr:sp>
    <xdr:clientData/>
  </xdr:oneCellAnchor>
  <xdr:oneCellAnchor>
    <xdr:from>
      <xdr:col>8</xdr:col>
      <xdr:colOff>107156</xdr:colOff>
      <xdr:row>1</xdr:row>
      <xdr:rowOff>47626</xdr:rowOff>
    </xdr:from>
    <xdr:ext cx="1869281" cy="297656"/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941212C5-0BFA-DA8E-19F7-B736EF10FDEF}"/>
            </a:ext>
          </a:extLst>
        </xdr:cNvPr>
        <xdr:cNvSpPr txBox="1"/>
      </xdr:nvSpPr>
      <xdr:spPr>
        <a:xfrm>
          <a:off x="6060281" y="238126"/>
          <a:ext cx="1869281" cy="2976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>
              <a:solidFill>
                <a:schemeClr val="bg1"/>
              </a:solidFill>
              <a:latin typeface="Franklin Gothic Demi" panose="020B0703020102020204" pitchFamily="34" charset="0"/>
              <a:ea typeface="+mn-ea"/>
              <a:cs typeface="+mn-cs"/>
            </a:rPr>
            <a:t>Total des entrées</a:t>
          </a:r>
        </a:p>
        <a:p>
          <a:endParaRPr lang="fr-FR" sz="1600">
            <a:solidFill>
              <a:schemeClr val="lt1"/>
            </a:solidFill>
            <a:latin typeface="Franklin Gothic Demi" panose="020B0703020102020204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10</xdr:col>
      <xdr:colOff>702468</xdr:colOff>
      <xdr:row>1</xdr:row>
      <xdr:rowOff>23811</xdr:rowOff>
    </xdr:from>
    <xdr:ext cx="2047875" cy="297657"/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3095D222-E2C5-16B5-F18E-C57E08E0FC6C}"/>
            </a:ext>
          </a:extLst>
        </xdr:cNvPr>
        <xdr:cNvSpPr txBox="1"/>
      </xdr:nvSpPr>
      <xdr:spPr>
        <a:xfrm>
          <a:off x="8179593" y="214311"/>
          <a:ext cx="2047875" cy="2976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Valeurs</a:t>
          </a:r>
          <a:r>
            <a:rPr lang="fr-FR" sz="160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 </a:t>
          </a:r>
          <a:r>
            <a:rPr lang="fr-FR" sz="1600">
              <a:solidFill>
                <a:schemeClr val="lt1"/>
              </a:solidFill>
              <a:latin typeface="Franklin Gothic Demi" panose="020B0703020102020204" pitchFamily="34" charset="0"/>
              <a:ea typeface="+mn-ea"/>
              <a:cs typeface="+mn-cs"/>
            </a:rPr>
            <a:t>de</a:t>
          </a:r>
          <a:r>
            <a:rPr lang="fr-FR" sz="1600" baseline="0">
              <a:solidFill>
                <a:schemeClr val="bg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s entrées</a:t>
          </a:r>
          <a:endParaRPr lang="fr-FR" sz="1600">
            <a:solidFill>
              <a:schemeClr val="lt1"/>
            </a:solidFill>
            <a:latin typeface="Franklin Gothic Demi" panose="020B0703020102020204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15</xdr:col>
      <xdr:colOff>547688</xdr:colOff>
      <xdr:row>3</xdr:row>
      <xdr:rowOff>1</xdr:rowOff>
    </xdr:from>
    <xdr:ext cx="1940718" cy="404812"/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9A7DDD39-6C9E-6C06-D3D5-25561ED01A8D}"/>
            </a:ext>
          </a:extLst>
        </xdr:cNvPr>
        <xdr:cNvSpPr txBox="1"/>
      </xdr:nvSpPr>
      <xdr:spPr>
        <a:xfrm>
          <a:off x="11834813" y="571501"/>
          <a:ext cx="1940718" cy="4048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600" b="0" i="0" u="none" strike="noStrike">
              <a:solidFill>
                <a:schemeClr val="bg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             5 714,00 € </a:t>
          </a:r>
          <a:endParaRPr lang="fr-FR" sz="16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oneCellAnchor>
  <xdr:oneCellAnchor>
    <xdr:from>
      <xdr:col>13</xdr:col>
      <xdr:colOff>654844</xdr:colOff>
      <xdr:row>3</xdr:row>
      <xdr:rowOff>0</xdr:rowOff>
    </xdr:from>
    <xdr:ext cx="1059656" cy="324961"/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C79B63B1-B0F4-9EA8-DD63-7EC330BFCDDE}"/>
            </a:ext>
          </a:extLst>
        </xdr:cNvPr>
        <xdr:cNvSpPr txBox="1"/>
      </xdr:nvSpPr>
      <xdr:spPr>
        <a:xfrm>
          <a:off x="10417969" y="571500"/>
          <a:ext cx="1059656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>
              <a:solidFill>
                <a:schemeClr val="bg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14</a:t>
          </a:r>
          <a:endParaRPr lang="fr-FR" sz="1600">
            <a:solidFill>
              <a:schemeClr val="bg1"/>
            </a:solidFill>
            <a:latin typeface="Franklin Gothic Demi" panose="020B07030201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2</xdr:col>
      <xdr:colOff>214312</xdr:colOff>
      <xdr:row>5</xdr:row>
      <xdr:rowOff>154781</xdr:rowOff>
    </xdr:from>
    <xdr:to>
      <xdr:col>7</xdr:col>
      <xdr:colOff>500062</xdr:colOff>
      <xdr:row>18</xdr:row>
      <xdr:rowOff>35719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28706C8D-5B35-4A91-ABC6-D88AA795C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273843</xdr:colOff>
      <xdr:row>9</xdr:row>
      <xdr:rowOff>11908</xdr:rowOff>
    </xdr:from>
    <xdr:to>
      <xdr:col>5</xdr:col>
      <xdr:colOff>428624</xdr:colOff>
      <xdr:row>13</xdr:row>
      <xdr:rowOff>142875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18AA27DB-5F4A-E65A-4C74-A16B39F8D45C}"/>
            </a:ext>
          </a:extLst>
        </xdr:cNvPr>
        <xdr:cNvSpPr/>
      </xdr:nvSpPr>
      <xdr:spPr>
        <a:xfrm>
          <a:off x="3178968" y="1726408"/>
          <a:ext cx="916781" cy="89296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/>
            </a:solidFill>
          </a:endParaRPr>
        </a:p>
      </xdr:txBody>
    </xdr:sp>
    <xdr:clientData/>
  </xdr:twoCellAnchor>
  <xdr:oneCellAnchor>
    <xdr:from>
      <xdr:col>4</xdr:col>
      <xdr:colOff>345283</xdr:colOff>
      <xdr:row>10</xdr:row>
      <xdr:rowOff>59532</xdr:rowOff>
    </xdr:from>
    <xdr:ext cx="797717" cy="428625"/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40C1CD2D-0A21-0ECF-7601-453A7BFDDEA5}"/>
            </a:ext>
          </a:extLst>
        </xdr:cNvPr>
        <xdr:cNvSpPr txBox="1"/>
      </xdr:nvSpPr>
      <xdr:spPr>
        <a:xfrm>
          <a:off x="3250408" y="1964532"/>
          <a:ext cx="797717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50" baseline="0">
              <a:solidFill>
                <a:schemeClr val="tx1">
                  <a:lumMod val="50000"/>
                  <a:lumOff val="50000"/>
                </a:schemeClr>
              </a:solidFill>
              <a:latin typeface="Franklin Gothic Demi" panose="020B0703020102020204" pitchFamily="34" charset="0"/>
              <a:ea typeface="+mn-ea"/>
              <a:cs typeface="+mn-cs"/>
            </a:rPr>
            <a:t>Stock par caégorie</a:t>
          </a:r>
        </a:p>
      </xdr:txBody>
    </xdr:sp>
    <xdr:clientData/>
  </xdr:oneCellAnchor>
  <xdr:twoCellAnchor>
    <xdr:from>
      <xdr:col>8</xdr:col>
      <xdr:colOff>11906</xdr:colOff>
      <xdr:row>5</xdr:row>
      <xdr:rowOff>142875</xdr:rowOff>
    </xdr:from>
    <xdr:to>
      <xdr:col>13</xdr:col>
      <xdr:colOff>83344</xdr:colOff>
      <xdr:row>18</xdr:row>
      <xdr:rowOff>103584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C45695E0-6559-4792-9D3B-83FD8BF97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226219</xdr:colOff>
      <xdr:row>5</xdr:row>
      <xdr:rowOff>154781</xdr:rowOff>
    </xdr:from>
    <xdr:to>
      <xdr:col>19</xdr:col>
      <xdr:colOff>166687</xdr:colOff>
      <xdr:row>18</xdr:row>
      <xdr:rowOff>95250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1AB0406D-273F-4C0A-B2E6-9D3DD7FB2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345279</xdr:colOff>
      <xdr:row>19</xdr:row>
      <xdr:rowOff>9527</xdr:rowOff>
    </xdr:from>
    <xdr:to>
      <xdr:col>19</xdr:col>
      <xdr:colOff>380998</xdr:colOff>
      <xdr:row>32</xdr:row>
      <xdr:rowOff>28577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4400F2FA-5740-4ED1-8441-B89BD5996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59531</xdr:colOff>
      <xdr:row>19</xdr:row>
      <xdr:rowOff>83344</xdr:rowOff>
    </xdr:from>
    <xdr:to>
      <xdr:col>7</xdr:col>
      <xdr:colOff>500062</xdr:colOff>
      <xdr:row>31</xdr:row>
      <xdr:rowOff>154782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5D24D03D-A94F-42FD-88AA-18A9C563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654845</xdr:colOff>
      <xdr:row>19</xdr:row>
      <xdr:rowOff>95250</xdr:rowOff>
    </xdr:from>
    <xdr:to>
      <xdr:col>13</xdr:col>
      <xdr:colOff>178595</xdr:colOff>
      <xdr:row>31</xdr:row>
      <xdr:rowOff>166688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9A9B17A6-1FFD-4803-AEAE-0C876E04B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61915</xdr:colOff>
      <xdr:row>32</xdr:row>
      <xdr:rowOff>140493</xdr:rowOff>
    </xdr:from>
    <xdr:to>
      <xdr:col>7</xdr:col>
      <xdr:colOff>511968</xdr:colOff>
      <xdr:row>46</xdr:row>
      <xdr:rowOff>83345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C2AAA030-03EA-48DF-9F2D-C1E91C24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642938</xdr:colOff>
      <xdr:row>32</xdr:row>
      <xdr:rowOff>166687</xdr:rowOff>
    </xdr:from>
    <xdr:to>
      <xdr:col>13</xdr:col>
      <xdr:colOff>214312</xdr:colOff>
      <xdr:row>46</xdr:row>
      <xdr:rowOff>95250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07F3B35E-EC72-46B8-8E3C-6ED344151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485776</xdr:colOff>
      <xdr:row>33</xdr:row>
      <xdr:rowOff>23812</xdr:rowOff>
    </xdr:from>
    <xdr:to>
      <xdr:col>19</xdr:col>
      <xdr:colOff>190500</xdr:colOff>
      <xdr:row>46</xdr:row>
      <xdr:rowOff>83344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510C49AC-A1C9-49EB-8FC7-71A65E24E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ROTIANA" refreshedDate="46232.738613425929" createdVersion="8" refreshedVersion="8" minRefreshableVersion="3" recordCount="11" xr:uid="{954783E4-4640-4BCF-A669-6F388B41FFCD}">
  <cacheSource type="worksheet">
    <worksheetSource name="TableauInventaire"/>
  </cacheSource>
  <cacheFields count="12">
    <cacheField name="Référence" numFmtId="0">
      <sharedItems/>
    </cacheField>
    <cacheField name="Désignation" numFmtId="0">
      <sharedItems/>
    </cacheField>
    <cacheField name="Catégorie" numFmtId="0">
      <sharedItems containsMixedTypes="1" containsNumber="1" containsInteger="1" minValue="100" maxValue="100" count="5">
        <s v="SmartPhone"/>
        <s v="Biscuits"/>
        <n v="100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5" maxValue="100"/>
    </cacheField>
    <cacheField name="Stock initial" numFmtId="0">
      <sharedItems containsSemiMixedTypes="0" containsString="0" containsNumber="1" containsInteger="1" minValue="3" maxValue="74"/>
    </cacheField>
    <cacheField name="Entrées" numFmtId="0">
      <sharedItems containsSemiMixedTypes="0" containsString="0" containsNumber="1" containsInteger="1" minValue="0" maxValue="10"/>
    </cacheField>
    <cacheField name="Sorties" numFmtId="0">
      <sharedItems containsSemiMixedTypes="0" containsString="0" containsNumber="1" containsInteger="1" minValue="0" maxValue="5"/>
    </cacheField>
    <cacheField name="Stock final" numFmtId="0">
      <sharedItems containsSemiMixedTypes="0" containsString="0" containsNumber="1" containsInteger="1" minValue="1" maxValue="69"/>
    </cacheField>
    <cacheField name="CUMP" numFmtId="164">
      <sharedItems containsSemiMixedTypes="0" containsString="0" containsNumber="1" minValue="0.2" maxValue="1200"/>
    </cacheField>
    <cacheField name="Valeur" numFmtId="164">
      <sharedItems containsSemiMixedTypes="0" containsString="0" containsNumber="1" minValue="13.600000000000001" maxValue="8400"/>
    </cacheField>
    <cacheField name="Statu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ROTIANA" refreshedDate="46232.750174074077" createdVersion="8" refreshedVersion="8" minRefreshableVersion="3" recordCount="5" xr:uid="{749CCA08-D08B-4758-8499-74452AEE3E87}">
  <cacheSource type="worksheet">
    <worksheetSource name="TableauEntrée"/>
  </cacheSource>
  <cacheFields count="9">
    <cacheField name="Numéro" numFmtId="0">
      <sharedItems containsSemiMixedTypes="0" containsString="0" containsNumber="1" containsInteger="1" minValue="1" maxValue="5"/>
    </cacheField>
    <cacheField name="Date" numFmtId="14">
      <sharedItems containsSemiMixedTypes="0" containsNonDate="0" containsDate="1" containsString="0" minDate="2026-07-03T00:00:00" maxDate="2026-07-08T00:00:00"/>
    </cacheField>
    <cacheField name="Référence" numFmtId="0">
      <sharedItems/>
    </cacheField>
    <cacheField name="Désignation" numFmtId="0">
      <sharedItems/>
    </cacheField>
    <cacheField name="Catégorie" numFmtId="0">
      <sharedItems/>
    </cacheField>
    <cacheField name="Unité" numFmtId="0">
      <sharedItems/>
    </cacheField>
    <cacheField name="Coût d'achat" numFmtId="164">
      <sharedItems containsSemiMixedTypes="0" containsString="0" containsNumber="1" minValue="0.2" maxValue="1200"/>
    </cacheField>
    <cacheField name="Quantité" numFmtId="164">
      <sharedItems containsSemiMixedTypes="0" containsString="0" containsNumber="1" containsInteger="1" minValue="1" maxValue="10"/>
    </cacheField>
    <cacheField name="Total" numFmtId="164">
      <sharedItems containsSemiMixedTypes="0" containsString="0" containsNumber="1" containsInteger="1" minValue="2" maxValue="1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ROTIANA" refreshedDate="46232.750530092591" createdVersion="8" refreshedVersion="8" minRefreshableVersion="3" recordCount="6" xr:uid="{6CFAB1AD-6E53-4073-A6C3-4CEBCD0EAE0D}">
  <cacheSource type="worksheet">
    <worksheetSource name="TableauSorties"/>
  </cacheSource>
  <cacheFields count="9">
    <cacheField name="Numéro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26-07-10T00:00:00" maxDate="2026-07-14T00:00:00"/>
    </cacheField>
    <cacheField name="Référence" numFmtId="0">
      <sharedItems/>
    </cacheField>
    <cacheField name="Désignation" numFmtId="0">
      <sharedItems/>
    </cacheField>
    <cacheField name="Catégorie" numFmtId="0">
      <sharedItems/>
    </cacheField>
    <cacheField name="Unité" numFmtId="0">
      <sharedItems/>
    </cacheField>
    <cacheField name="Coût d'achat" numFmtId="164">
      <sharedItems containsSemiMixedTypes="0" containsString="0" containsNumber="1" containsInteger="1" minValue="2" maxValue="1200"/>
    </cacheField>
    <cacheField name="Quantité" numFmtId="0">
      <sharedItems containsSemiMixedTypes="0" containsString="0" containsNumber="1" containsInteger="1" minValue="1" maxValue="5"/>
    </cacheField>
    <cacheField name="Total" numFmtId="164">
      <sharedItems containsSemiMixedTypes="0" containsString="0" containsNumber="1" containsInteger="1" minValue="4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69918981481" backgroundQuery="1" createdVersion="8" refreshedVersion="8" minRefreshableVersion="3" recordCount="0" supportSubquery="1" supportAdvancedDrill="1" xr:uid="{281EBC5C-C296-4019-A3B0-5426BCF70ACB}">
  <cacheSource type="external" connectionId="1"/>
  <cacheFields count="3">
    <cacheField name="[Measures].[Somme de Quantité 2]" caption="Somme de Quantité 2" numFmtId="0" hierarchy="27" level="32767"/>
    <cacheField name="[Measures].[Somme de Total 2]" caption="Somme de Total 2" numFmtId="0" hierarchy="28" level="32767"/>
    <cacheField name="[categorie].[Catégories].[Catégories]" caption="Catégories" numFmtId="0" level="1">
      <sharedItems containsSemiMixedTypes="0" containsNonDate="0" containsString="0"/>
    </cacheField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2" memberValueDatatype="130" unbalanced="0">
      <fieldsUsage count="2">
        <fieldUsage x="-1"/>
        <fieldUsage x="2"/>
      </fieldsUsage>
    </cacheHierarchy>
    <cacheHierarchy uniqueName="[reference].[Référence]" caption="Référence" attribute="1" defaultMemberUniqueName="[reference].[Référence].[All]" allUniqueName="[reference].[Référence].[All]" dimensionUniqueName="[reference]" displayFolder="" count="2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2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2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2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2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2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2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2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2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2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2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2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2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2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2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2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2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2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2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69919444443" backgroundQuery="1" createdVersion="8" refreshedVersion="8" minRefreshableVersion="3" recordCount="0" supportSubquery="1" supportAdvancedDrill="1" xr:uid="{D733B852-9F40-4FEE-B976-6F4E12BF8F9E}">
  <cacheSource type="external" connectionId="1"/>
  <cacheFields count="3">
    <cacheField name="[Measures].[Somme de Quantité]" caption="Somme de Quantité" numFmtId="0" hierarchy="25" level="32767"/>
    <cacheField name="[Measures].[Somme de Total]" caption="Somme de Total" numFmtId="0" hierarchy="26" level="32767"/>
    <cacheField name="[categorie].[Catégories].[Catégories]" caption="Catégories" numFmtId="0" level="1">
      <sharedItems containsSemiMixedTypes="0" containsNonDate="0" containsString="0"/>
    </cacheField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2" memberValueDatatype="130" unbalanced="0">
      <fieldsUsage count="2">
        <fieldUsage x="-1"/>
        <fieldUsage x="2"/>
      </fieldsUsage>
    </cacheHierarchy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85892129628" backgroundQuery="1" createdVersion="8" refreshedVersion="8" minRefreshableVersion="3" recordCount="0" supportSubquery="1" supportAdvancedDrill="1" xr:uid="{CD764C97-969F-4D50-B3A8-C02A2FDAC92F}">
  <cacheSource type="external" connectionId="1"/>
  <cacheFields count="2">
    <cacheField name="[TableauEntrée].[Catégorie].[Catégorie]" caption="Catégorie" numFmtId="0" hierarchy="6" level="1">
      <sharedItems count="4">
        <s v="Biscuits"/>
        <s v="Consoles"/>
        <s v="Electro"/>
        <s v="Ordinateur"/>
      </sharedItems>
    </cacheField>
    <cacheField name="[Measures].[Somme de Total]" caption="Somme de Total" numFmtId="0" hierarchy="26" level="32767"/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2" memberValueDatatype="130" unbalanced="0">
      <fieldsUsage count="2">
        <fieldUsage x="-1"/>
        <fieldUsage x="0"/>
      </fieldsUsage>
    </cacheHierarchy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87082986113" backgroundQuery="1" createdVersion="8" refreshedVersion="8" minRefreshableVersion="3" recordCount="0" supportSubquery="1" supportAdvancedDrill="1" xr:uid="{7AECCA54-B8E4-479D-AE9F-A137D982D4C3}">
  <cacheSource type="external" connectionId="1"/>
  <cacheFields count="2">
    <cacheField name="[TableauSorties].[Catégorie].[Catégorie]" caption="Catégorie" numFmtId="0" hierarchy="15" level="1">
      <sharedItems count="5">
        <s v="Biscuits"/>
        <s v="Consoles"/>
        <s v="Electro"/>
        <s v="Ordinateur"/>
        <s v="SmartPhone"/>
      </sharedItems>
    </cacheField>
    <cacheField name="[Measures].[Somme de Quantité 2]" caption="Somme de Quantité 2" numFmtId="0" hierarchy="27" level="32767"/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2" memberValueDatatype="130" unbalanced="0">
      <fieldsUsage count="2">
        <fieldUsage x="-1"/>
        <fieldUsage x="0"/>
      </fieldsUsage>
    </cacheHierarchy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88010532407" backgroundQuery="1" createdVersion="8" refreshedVersion="8" minRefreshableVersion="3" recordCount="0" supportSubquery="1" supportAdvancedDrill="1" xr:uid="{EBA54C2E-14E3-4F58-B1AB-01DF610AC310}">
  <cacheSource type="external" connectionId="1"/>
  <cacheFields count="2">
    <cacheField name="[TableauEntrée].[Catégorie].[Catégorie]" caption="Catégorie" numFmtId="0" hierarchy="6" level="1">
      <sharedItems count="4">
        <s v="Biscuits"/>
        <s v="Consoles"/>
        <s v="Electro"/>
        <s v="Ordinateur"/>
      </sharedItems>
    </cacheField>
    <cacheField name="[Measures].[Somme de Quantité]" caption="Somme de Quantité" numFmtId="0" hierarchy="25" level="32767"/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2" memberValueDatatype="130" unbalanced="0">
      <fieldsUsage count="2">
        <fieldUsage x="-1"/>
        <fieldUsage x="0"/>
      </fieldsUsage>
    </cacheHierarchy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88702662037" backgroundQuery="1" createdVersion="8" refreshedVersion="8" minRefreshableVersion="3" recordCount="0" supportSubquery="1" supportAdvancedDrill="1" xr:uid="{3D79A31C-8C31-4BF6-BE17-88B12A5658E4}">
  <cacheSource type="external" connectionId="1"/>
  <cacheFields count="2">
    <cacheField name="[TableauSorties].[Catégorie].[Catégorie]" caption="Catégorie" numFmtId="0" hierarchy="15" level="1">
      <sharedItems count="5">
        <s v="Biscuits"/>
        <s v="Consoles"/>
        <s v="Electro"/>
        <s v="Ordinateur"/>
        <s v="SmartPhone"/>
      </sharedItems>
    </cacheField>
    <cacheField name="[Measures].[Somme de Total 2]" caption="Somme de Total 2" numFmtId="0" hierarchy="28" level="32767"/>
  </cacheFields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2" memberValueDatatype="130" unbalanced="0">
      <fieldsUsage count="2">
        <fieldUsage x="-1"/>
        <fieldUsage x="0"/>
      </fieldsUsage>
    </cacheHierarchy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901618865741" backgroundQuery="1" createdVersion="8" refreshedVersion="8" minRefreshableVersion="3" recordCount="0" supportSubquery="1" supportAdvancedDrill="1" xr:uid="{F5A9FBA0-AB1D-4997-8A4E-DEEC4F388D9B}">
  <cacheSource type="external" connectionId="1"/>
  <cacheFields count="3">
    <cacheField name="[TableauEntrée].[Date].[Date]" caption="Date" numFmtId="0" hierarchy="3" level="1">
      <sharedItems containsSemiMixedTypes="0" containsNonDate="0" containsDate="1" containsString="0" minDate="2026-07-03T00:00:00" maxDate="2026-07-08T00:00:00" count="5">
        <d v="2026-07-03T00:00:00"/>
        <d v="2026-07-04T00:00:00"/>
        <d v="2026-07-05T00:00:00"/>
        <d v="2026-07-06T00:00:00"/>
        <d v="2026-07-07T00:00:00"/>
      </sharedItems>
    </cacheField>
    <cacheField name="[Measures].[Somme de Quantité]" caption="Somme de Quantité" numFmtId="0" hierarchy="25" level="32767"/>
    <cacheField name="Unsupported0" numFmtId="0" hierarchy="2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0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2" memberValueDatatype="7" unbalanced="0">
      <fieldsUsage count="2">
        <fieldUsage x="-1"/>
        <fieldUsage x="0"/>
      </fieldsUsage>
    </cacheHierarchy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Unsupported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919343981484" backgroundQuery="1" createdVersion="8" refreshedVersion="8" minRefreshableVersion="3" recordCount="0" supportSubquery="1" supportAdvancedDrill="1" xr:uid="{68852410-55F4-4562-85E9-773BBB3D5AC9}">
  <cacheSource type="external" connectionId="1"/>
  <cacheFields count="3">
    <cacheField name="[TableauSorties].[Date].[Date]" caption="Date" numFmtId="0" hierarchy="12" level="1">
      <sharedItems containsSemiMixedTypes="0" containsNonDate="0" containsDate="1" containsString="0" minDate="2026-07-10T00:00:00" maxDate="2026-07-14T00:00:00" count="4">
        <d v="2026-07-10T00:00:00"/>
        <d v="2026-07-11T00:00:00"/>
        <d v="2026-07-12T00:00:00"/>
        <d v="2026-07-13T00:00:00"/>
      </sharedItems>
    </cacheField>
    <cacheField name="[Measures].[Somme de Quantité 2]" caption="Somme de Quantité 2" numFmtId="0" hierarchy="27" level="32767"/>
    <cacheField name="Unsupported0" numFmtId="0" hierarchy="2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0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2" memberValueDatatype="7" unbalanced="0">
      <fieldsUsage count="2">
        <fieldUsage x="-1"/>
        <fieldUsage x="0"/>
      </fieldsUsage>
    </cacheHierarchy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Unsupported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927033449072" backgroundQuery="1" createdVersion="8" refreshedVersion="8" minRefreshableVersion="3" recordCount="0" supportSubquery="1" supportAdvancedDrill="1" xr:uid="{273BE933-7966-471D-8018-D610E65AE642}">
  <cacheSource type="external" connectionId="1"/>
  <cacheFields count="3">
    <cacheField name="[TableauEntrée].[Date].[Date]" caption="Date" numFmtId="0" hierarchy="3" level="1">
      <sharedItems containsSemiMixedTypes="0" containsNonDate="0" containsDate="1" containsString="0" minDate="2026-07-03T00:00:00" maxDate="2026-07-08T00:00:00" count="5">
        <d v="2026-07-03T00:00:00"/>
        <d v="2026-07-04T00:00:00"/>
        <d v="2026-07-05T00:00:00"/>
        <d v="2026-07-06T00:00:00"/>
        <d v="2026-07-07T00:00:00"/>
      </sharedItems>
    </cacheField>
    <cacheField name="[Measures].[Somme de Total]" caption="Somme de Total" numFmtId="0" hierarchy="26" level="32767"/>
    <cacheField name="Unsupported0" numFmtId="0" hierarchy="2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0">
    <cacheHierarchy uniqueName="[categorie].[Catégories]" caption="Catégories" attribute="1" defaultMemberUniqueName="[categorie].[Catégories].[All]" allUniqueName="[categorie].[Catégories].[All]" dimensionUniqueName="[categorie]" displayFolder="" count="0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2" memberValueDatatype="7" unbalanced="0">
      <fieldsUsage count="2">
        <fieldUsage x="-1"/>
        <fieldUsage x="0"/>
      </fieldsUsage>
    </cacheHierarchy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Unsupported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categorie" uniqueName="[categorie]" caption="categorie"/>
    <dimension measure="1" name="Measures" uniqueName="[Measures]" caption="Measures"/>
    <dimension name="reference" uniqueName="[reference]" caption="reference"/>
    <dimension name="TableauEntrée" uniqueName="[TableauEntrée]" caption="TableauEntrée"/>
    <dimension name="TableauSorties" uniqueName="[TableauSorties]" caption="TableauSorties"/>
  </dimensions>
  <measureGroups count="4">
    <measureGroup name="categorie" caption="categorie"/>
    <measureGroup name="reference" caption="reference"/>
    <measureGroup name="TableauEntrée" caption="TableauEntrée"/>
    <measureGroup name="TableauSorties" caption="TableauSorties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OROTIANA" refreshedDate="46232.761325462961" backgroundQuery="1" createdVersion="3" refreshedVersion="8" minRefreshableVersion="3" recordCount="0" supportSubquery="1" supportAdvancedDrill="1" xr:uid="{AEC5EDB2-24DF-48B7-B9BE-CE6B497CE49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9">
    <cacheHierarchy uniqueName="[categorie].[Catégories]" caption="Catégories" attribute="1" defaultMemberUniqueName="[categorie].[Catégories].[All]" allUniqueName="[categorie].[Catégories].[All]" dimensionUniqueName="[categorie]" displayFolder="" count="2" memberValueDatatype="130" unbalanced="0"/>
    <cacheHierarchy uniqueName="[reference].[Référence]" caption="Référence" attribute="1" defaultMemberUniqueName="[reference].[Référence].[All]" allUniqueName="[reference].[Référence].[All]" dimensionUniqueName="[reference]" displayFolder="" count="0" memberValueDatatype="130" unbalanced="0"/>
    <cacheHierarchy uniqueName="[TableauEntrée].[Numéro]" caption="Numéro" attribute="1" defaultMemberUniqueName="[TableauEntrée].[Numéro].[All]" allUniqueName="[TableauEntrée].[Numéro].[All]" dimensionUniqueName="[TableauEntrée]" displayFolder="" count="0" memberValueDatatype="20" unbalanced="0"/>
    <cacheHierarchy uniqueName="[TableauEntrée].[Date]" caption="Date" attribute="1" time="1" defaultMemberUniqueName="[TableauEntrée].[Date].[All]" allUniqueName="[TableauEntrée].[Date].[All]" dimensionUniqueName="[TableauEntrée]" displayFolder="" count="0" memberValueDatatype="7" unbalanced="0"/>
    <cacheHierarchy uniqueName="[TableauEntrée].[Référence]" caption="Référence" attribute="1" defaultMemberUniqueName="[TableauEntrée].[Référence].[All]" allUniqueName="[TableauEntrée].[Référence].[All]" dimensionUniqueName="[TableauEntrée]" displayFolder="" count="0" memberValueDatatype="130" unbalanced="0"/>
    <cacheHierarchy uniqueName="[TableauEntrée].[Désignation]" caption="Désignation" attribute="1" defaultMemberUniqueName="[TableauEntrée].[Désignation].[All]" allUniqueName="[TableauEntrée].[Désignation].[All]" dimensionUniqueName="[TableauEntrée]" displayFolder="" count="0" memberValueDatatype="130" unbalanced="0"/>
    <cacheHierarchy uniqueName="[TableauEntrée].[Catégorie]" caption="Catégorie" attribute="1" defaultMemberUniqueName="[TableauEntrée].[Catégorie].[All]" allUniqueName="[TableauEntrée].[Catégorie].[All]" dimensionUniqueName="[TableauEntrée]" displayFolder="" count="0" memberValueDatatype="130" unbalanced="0"/>
    <cacheHierarchy uniqueName="[TableauEntrée].[Unité]" caption="Unité" attribute="1" defaultMemberUniqueName="[TableauEntrée].[Unité].[All]" allUniqueName="[TableauEntrée].[Unité].[All]" dimensionUniqueName="[TableauEntrée]" displayFolder="" count="0" memberValueDatatype="130" unbalanced="0"/>
    <cacheHierarchy uniqueName="[TableauEntrée].[Coût d'achat]" caption="Coût d'achat" attribute="1" defaultMemberUniqueName="[TableauEntrée].[Coût d'achat].[All]" allUniqueName="[TableauEntrée].[Coût d'achat].[All]" dimensionUniqueName="[TableauEntrée]" displayFolder="" count="0" memberValueDatatype="5" unbalanced="0"/>
    <cacheHierarchy uniqueName="[TableauEntrée].[Quantité]" caption="Quantité" attribute="1" defaultMemberUniqueName="[TableauEntrée].[Quantité].[All]" allUniqueName="[TableauEntrée].[Quantité].[All]" dimensionUniqueName="[TableauEntrée]" displayFolder="" count="0" memberValueDatatype="20" unbalanced="0"/>
    <cacheHierarchy uniqueName="[TableauEntrée].[Total]" caption="Total" attribute="1" defaultMemberUniqueName="[TableauEntrée].[Total].[All]" allUniqueName="[TableauEntrée].[Total].[All]" dimensionUniqueName="[TableauEntrée]" displayFolder="" count="0" memberValueDatatype="20" unbalanced="0"/>
    <cacheHierarchy uniqueName="[TableauSorties].[Numéro]" caption="Numéro" attribute="1" defaultMemberUniqueName="[TableauSorties].[Numéro].[All]" allUniqueName="[TableauSorties].[Numéro].[All]" dimensionUniqueName="[TableauSorties]" displayFolder="" count="0" memberValueDatatype="20" unbalanced="0"/>
    <cacheHierarchy uniqueName="[TableauSorties].[Date]" caption="Date" attribute="1" time="1" defaultMemberUniqueName="[TableauSorties].[Date].[All]" allUniqueName="[TableauSorties].[Date].[All]" dimensionUniqueName="[TableauSorties]" displayFolder="" count="0" memberValueDatatype="7" unbalanced="0"/>
    <cacheHierarchy uniqueName="[TableauSorties].[Référence]" caption="Référence" attribute="1" defaultMemberUniqueName="[TableauSorties].[Référence].[All]" allUniqueName="[TableauSorties].[Référence].[All]" dimensionUniqueName="[TableauSorties]" displayFolder="" count="0" memberValueDatatype="130" unbalanced="0"/>
    <cacheHierarchy uniqueName="[TableauSorties].[Désignation]" caption="Désignation" attribute="1" defaultMemberUniqueName="[TableauSorties].[Désignation].[All]" allUniqueName="[TableauSorties].[Désignation].[All]" dimensionUniqueName="[TableauSorties]" displayFolder="" count="0" memberValueDatatype="130" unbalanced="0"/>
    <cacheHierarchy uniqueName="[TableauSorties].[Catégorie]" caption="Catégorie" attribute="1" defaultMemberUniqueName="[TableauSorties].[Catégorie].[All]" allUniqueName="[TableauSorties].[Catégorie].[All]" dimensionUniqueName="[TableauSorties]" displayFolder="" count="0" memberValueDatatype="130" unbalanced="0"/>
    <cacheHierarchy uniqueName="[TableauSorties].[Unité]" caption="Unité" attribute="1" defaultMemberUniqueName="[TableauSorties].[Unité].[All]" allUniqueName="[TableauSorties].[Unité].[All]" dimensionUniqueName="[TableauSorties]" displayFolder="" count="0" memberValueDatatype="130" unbalanced="0"/>
    <cacheHierarchy uniqueName="[TableauSorties].[Coût d'achat]" caption="Coût d'achat" attribute="1" defaultMemberUniqueName="[TableauSorties].[Coût d'achat].[All]" allUniqueName="[TableauSorties].[Coût d'achat].[All]" dimensionUniqueName="[TableauSorties]" displayFolder="" count="0" memberValueDatatype="20" unbalanced="0"/>
    <cacheHierarchy uniqueName="[TableauSorties].[Quantité]" caption="Quantité" attribute="1" defaultMemberUniqueName="[TableauSorties].[Quantité].[All]" allUniqueName="[TableauSorties].[Quantité].[All]" dimensionUniqueName="[TableauSorties]" displayFolder="" count="0" memberValueDatatype="20" unbalanced="0"/>
    <cacheHierarchy uniqueName="[TableauSorties].[Total]" caption="Total" attribute="1" defaultMemberUniqueName="[TableauSorties].[Total].[All]" allUniqueName="[TableauSorties].[Total].[All]" dimensionUniqueName="[TableauSorties]" displayFolder="" count="0" memberValueDatatype="20" unbalanced="0"/>
    <cacheHierarchy uniqueName="[Measures].[__XL_Count TableauEntrée]" caption="__XL_Count TableauEntrée" measure="1" displayFolder="" measureGroup="TableauEntrée" count="0" hidden="1"/>
    <cacheHierarchy uniqueName="[Measures].[__XL_Count categorie]" caption="__XL_Count categorie" measure="1" displayFolder="" measureGroup="categorie" count="0" hidden="1"/>
    <cacheHierarchy uniqueName="[Measures].[__XL_Count TableauSorties]" caption="__XL_Count TableauSorties" measure="1" displayFolder="" measureGroup="TableauSorties" count="0" hidden="1"/>
    <cacheHierarchy uniqueName="[Measures].[__XL_Count reference]" caption="__XL_Count reference" measure="1" displayFolder="" measureGroup="referenc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TableauEntré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TableauSorti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9945861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3"/>
    <s v="SAMSUNG S23"/>
    <x v="0"/>
    <s v="1 Unité"/>
    <n v="10"/>
    <n v="5"/>
    <n v="0"/>
    <n v="0"/>
    <n v="5"/>
    <n v="1000"/>
    <n v="5000"/>
    <s v="Stock faible"/>
  </r>
  <r>
    <s v="S2"/>
    <s v="IPHONE 13 PRO"/>
    <x v="0"/>
    <s v="1 Unité"/>
    <n v="10"/>
    <n v="3"/>
    <n v="0"/>
    <n v="2"/>
    <n v="1"/>
    <n v="1200"/>
    <n v="1200"/>
    <s v="Stock faible"/>
  </r>
  <r>
    <s v="B1"/>
    <s v="OREO"/>
    <x v="1"/>
    <s v="1 Unité"/>
    <n v="100"/>
    <n v="60"/>
    <n v="10"/>
    <n v="2"/>
    <n v="68"/>
    <n v="0.2"/>
    <n v="13.600000000000001"/>
    <s v="Stock faible"/>
  </r>
  <r>
    <s v="B2"/>
    <s v="OREO"/>
    <x v="2"/>
    <s v="Pack de 10 unité"/>
    <n v="100"/>
    <n v="74"/>
    <n v="0"/>
    <n v="5"/>
    <n v="69"/>
    <n v="2"/>
    <n v="138"/>
    <s v="Stock faible"/>
  </r>
  <r>
    <s v="B3"/>
    <s v="OREO"/>
    <x v="1"/>
    <s v="Pack de 10 unité"/>
    <n v="50"/>
    <n v="10"/>
    <n v="0"/>
    <n v="0"/>
    <n v="10"/>
    <n v="1.5"/>
    <n v="15"/>
    <s v="Stock faible"/>
  </r>
  <r>
    <s v="E1"/>
    <s v="CUISINIERE SIERA"/>
    <x v="3"/>
    <s v="1 Unité"/>
    <n v="10"/>
    <n v="4"/>
    <n v="3"/>
    <n v="2"/>
    <n v="5"/>
    <n v="150"/>
    <n v="750"/>
    <s v="Stock faible"/>
  </r>
  <r>
    <s v="E2"/>
    <s v="CUISINIERE SIERA"/>
    <x v="3"/>
    <s v="1 Unité"/>
    <n v="10"/>
    <n v="8"/>
    <n v="0"/>
    <n v="0"/>
    <n v="8"/>
    <n v="130"/>
    <n v="1040"/>
    <s v="Stock faible"/>
  </r>
  <r>
    <s v="E3"/>
    <s v="CUISINIERE SIERA"/>
    <x v="3"/>
    <s v="1 Unité"/>
    <n v="10"/>
    <n v="10"/>
    <n v="0"/>
    <n v="0"/>
    <n v="10"/>
    <n v="120"/>
    <n v="1200"/>
    <s v="Stock faible"/>
  </r>
  <r>
    <s v="E4"/>
    <s v="CUISINIERE SIERA"/>
    <x v="3"/>
    <s v="1 Unité"/>
    <n v="5"/>
    <n v="5"/>
    <n v="0"/>
    <n v="0"/>
    <n v="5"/>
    <n v="110"/>
    <n v="550"/>
    <s v="Stock faible"/>
  </r>
  <r>
    <s v="C1"/>
    <s v="REFRIGERATEUR A+"/>
    <x v="3"/>
    <s v="1 Unité"/>
    <n v="5"/>
    <n v="6"/>
    <n v="2"/>
    <n v="0"/>
    <n v="8"/>
    <n v="300"/>
    <n v="2400"/>
    <s v="Stock normal"/>
  </r>
  <r>
    <s v="C2"/>
    <s v="PLAYSTATION 5"/>
    <x v="4"/>
    <s v="1 Unité"/>
    <n v="5"/>
    <n v="7"/>
    <n v="1"/>
    <n v="1"/>
    <n v="7"/>
    <n v="1200"/>
    <n v="8400"/>
    <s v="Stock normal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d v="2026-07-03T00:00:00"/>
    <s v="B1"/>
    <s v="OREO"/>
    <s v="Biscuits"/>
    <s v="Unité"/>
    <n v="0.2"/>
    <n v="10"/>
    <n v="2"/>
  </r>
  <r>
    <n v="2"/>
    <d v="2026-07-04T00:00:00"/>
    <s v="A1"/>
    <s v="HP PROBOOK 4530S"/>
    <s v="Ordinateur"/>
    <s v="Unité"/>
    <n v="900"/>
    <n v="2"/>
    <n v="1800"/>
  </r>
  <r>
    <n v="3"/>
    <d v="2026-07-05T00:00:00"/>
    <s v="C2"/>
    <s v="PLAYSTATION 5"/>
    <s v="Consoles"/>
    <s v="Unité"/>
    <n v="1200"/>
    <n v="1"/>
    <n v="1200"/>
  </r>
  <r>
    <n v="4"/>
    <d v="2026-07-06T00:00:00"/>
    <s v="C1"/>
    <s v="REFRIGERATEUR A+"/>
    <s v="Electro"/>
    <s v="Unité"/>
    <n v="300"/>
    <n v="2"/>
    <n v="600"/>
  </r>
  <r>
    <n v="5"/>
    <d v="2026-07-07T00:00:00"/>
    <s v="E1"/>
    <s v="CUISINIERE SIERA"/>
    <s v="Electro"/>
    <s v="Unité"/>
    <n v="150"/>
    <n v="3"/>
    <n v="4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d v="2026-07-10T00:00:00"/>
    <s v="A1"/>
    <s v="HP PROBOOK 4530S"/>
    <s v="Ordinateur"/>
    <s v="1 Unité"/>
    <n v="900"/>
    <n v="2"/>
    <n v="1800"/>
  </r>
  <r>
    <n v="2"/>
    <d v="2026-07-10T00:00:00"/>
    <s v="C2"/>
    <s v="PLAYSTATION 5"/>
    <s v="Consoles"/>
    <s v="1 Unité"/>
    <n v="1200"/>
    <n v="1"/>
    <n v="1200"/>
  </r>
  <r>
    <n v="3"/>
    <d v="2026-07-11T00:00:00"/>
    <s v="E1"/>
    <s v="CUISINIERE SIERA"/>
    <s v="Electro"/>
    <s v="1 Unité"/>
    <n v="150"/>
    <n v="2"/>
    <n v="300"/>
  </r>
  <r>
    <n v="4"/>
    <d v="2026-07-12T00:00:00"/>
    <s v="B1"/>
    <s v="OREO"/>
    <s v="Biscuits"/>
    <s v="Pack de 10 unité"/>
    <n v="2"/>
    <n v="2"/>
    <n v="4"/>
  </r>
  <r>
    <n v="5"/>
    <d v="2026-07-12T00:00:00"/>
    <s v="B2"/>
    <s v="OREO"/>
    <s v="Biscuits"/>
    <s v="Pack de 10 unité"/>
    <n v="2"/>
    <n v="5"/>
    <n v="10"/>
  </r>
  <r>
    <n v="6"/>
    <d v="2026-07-13T00:00:00"/>
    <s v="S2"/>
    <s v="IPHONE 13 PRO"/>
    <s v="SmartPhone"/>
    <s v="1 Unité"/>
    <n v="1200"/>
    <n v="2"/>
    <n v="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1937A-6282-4BAB-8459-4A1D9662C101}" name="QuantitéSortieCategorie" cacheId="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9:B45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1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Sorties">
        <x15:activeTabTopLevelEntity name="[TableauSor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ADE9C-0DD5-4AE9-9ADF-F246588A10C5}" name="Tableau croisé dynamique14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69:C75" firstHeaderRow="0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1" baseField="0" baseItem="0"/>
    <dataField name="Somme de Total2" fld="2" baseField="0" baseItem="0">
      <extLst>
        <ext xmlns:x14="http://schemas.microsoft.com/office/spreadsheetml/2009/9/main" uri="{E15A36E0-9728-4e99-A89B-3F7291B0FE68}">
          <x14:dataField sourceField="1" uniqueName="[__Xl2].[Measures].[Somme de Total]"/>
        </ext>
      </extLst>
    </dataField>
  </dataFields>
  <formats count="1">
    <format dxfId="30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Entrée">
        <x15:activeTabTopLevelEntity name="[TableauEntré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AB99C8-B09B-4B32-B31D-6E8862A129B5}" name="Tableau croisé dynamique13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1:C66" firstHeaderRow="0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Quantité" fld="1" baseField="0" baseItem="0"/>
    <dataField name="Somme de Quantité2" fld="2" baseField="0" baseItem="0">
      <extLst>
        <ext xmlns:x14="http://schemas.microsoft.com/office/spreadsheetml/2009/9/main" uri="{E15A36E0-9728-4e99-A89B-3F7291B0FE68}">
          <x14:dataField sourceField="1" uniqueName="[__Xl2].[Measures].[Somme de Quantité 2]"/>
        </ext>
      </extLst>
    </dataField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Sorties">
        <x15:activeTabTopLevelEntity name="[TableauSor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E3954-CE9E-4089-8DEC-010B73E8D3E5}" name="Tableau croisé dynamique3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:B8" firstHeaderRow="0" firstDataRow="1" firstDataCol="0"/>
  <pivotFields count="9">
    <pivotField showAll="0"/>
    <pivotField numFmtId="14" showAll="0"/>
    <pivotField showAll="0"/>
    <pivotField showAll="0"/>
    <pivotField showAll="0"/>
    <pivotField showAll="0"/>
    <pivotField numFmtId="164" showAll="0"/>
    <pivotField dataField="1" showAll="0"/>
    <pivotField dataField="1" numFmtId="164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7" baseField="0" baseItem="0"/>
    <dataField name="Somme de Total" fld="8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99BF-91D9-4DFD-AAA8-DE7E68824F6F}" name="TOtalEntreCategorie" cacheId="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2:B37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44"/>
  </dataFields>
  <formats count="1">
    <format dxfId="31">
      <pivotArea outline="0" collapsedLevelsAreSubtotals="1" fieldPosition="0"/>
    </format>
  </format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Entrée">
        <x15:activeTabTopLevelEntity name="[TableauEntré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FAE060-4BAF-44AC-AF8A-0F2ABA2C66E7}" name="Tableau croisé dynamique12" cacheId="9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48:C54" firstHeaderRow="0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Quantité" fld="1" baseField="0" baseItem="0"/>
    <dataField name="Somme de Quantité2" fld="2" baseField="0" baseItem="0">
      <extLst>
        <ext xmlns:x14="http://schemas.microsoft.com/office/spreadsheetml/2009/9/main" uri="{E15A36E0-9728-4e99-A89B-3F7291B0FE68}">
          <x14:dataField sourceField="1" uniqueName="[__Xl2].[Measures].[Somme de Quantité]"/>
        </ext>
      </extLst>
    </dataField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Entrée">
        <x15:activeTabTopLevelEntity name="[TableauEntré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167D9-767D-44B8-8574-56121FF5F9CC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B5" firstHeaderRow="0" firstDataRow="1" firstDataCol="0"/>
  <pivotFields count="9">
    <pivotField showAll="0"/>
    <pivotField numFmtId="14" showAll="0"/>
    <pivotField showAll="0"/>
    <pivotField showAll="0"/>
    <pivotField showAll="0"/>
    <pivotField showAll="0"/>
    <pivotField numFmtId="164" showAll="0"/>
    <pivotField dataField="1" numFmtId="164" showAll="0"/>
    <pivotField dataField="1" numFmtId="164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7" baseField="0" baseItem="0"/>
    <dataField name="Somme de Total" fld="8" baseField="0" baseItem="0" numFmtId="164"/>
  </dataFields>
  <formats count="1"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4D3DE-9F09-416D-AC3C-728BFDC03CF4}" name="categorieValeur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6">
  <location ref="A24:B29" firstHeaderRow="1" firstDataRow="1" firstDataCol="1"/>
  <pivotFields count="12">
    <pivotField showAll="0"/>
    <pivotField showAll="0"/>
    <pivotField axis="axisRow" showAll="0">
      <items count="6">
        <item h="1" x="2"/>
        <item x="1"/>
        <item x="4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Valeur" fld="10" baseField="0" baseItem="0" numFmtId="164"/>
  </dataFields>
  <chartFormats count="6">
    <chartFormat chart="2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3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3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ED3B97-2A85-4383-9A49-7801D2F53C06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DF032-F39E-45AA-ABFE-444F38BB14D6}" name="StockTotalCategori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16:B22" firstHeaderRow="1" firstDataRow="1" firstDataCol="1"/>
  <pivotFields count="12">
    <pivotField showAll="0"/>
    <pivotField showAll="0"/>
    <pivotField axis="axisRow" showAll="0">
      <items count="6">
        <item x="2"/>
        <item x="1"/>
        <item x="4"/>
        <item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Stock final" fld="8" baseField="0" baseItem="0"/>
  </dataFields>
  <chartFormats count="12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C8987-E39E-4B08-A42F-C26EB70AAC38}" name="TotalSortieCategorie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D39:E45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Total" fld="1" baseField="0" baseItem="0" numFmtId="44"/>
  </dataFields>
  <formats count="1">
    <format dxfId="33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Sorties">
        <x15:activeTabTopLevelEntity name="[TableauSor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EAAF0-6EA4-475A-8442-99147D9921A5}" name="TC5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3:B14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/>
  </dataFields>
  <pivotHierarchies count="29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Sorties">
        <x15:activeTabTopLevelEntity name="[TableauSorties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F55A1A-5297-4313-AC1D-DC4D6E2626BF}" name="QuantiteEntreCategorie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D32:E37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Entrée">
        <x15:activeTabTopLevelEntity name="[TableauEntré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4947D7-96DC-41C1-B211-433D5A03160E}" name="TC4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0:B11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/>
  </dataFields>
  <pivotHierarchies count="29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(Récupération automatique).xlsm!TableauEntrée">
        <x15:activeTabTopLevelEntity name="[TableauEntrée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s" xr10:uid="{8E3A236A-E3B8-44DE-9BA0-0DE7D4B2C364}" sourceName="[categorie].[Catégories]">
  <pivotTables>
    <pivotTable tabId="6" name="TC5"/>
    <pivotTable tabId="6" name="TC4"/>
  </pivotTables>
  <data>
    <olap pivotCacheId="1699458612">
      <levels count="2">
        <level uniqueName="[categorie].[Catégories].[(All)]" sourceCaption="(All)" count="0"/>
        <level uniqueName="[categorie].[Catégories].[Catégories]" sourceCaption="Catégories" count="6">
          <ranges>
            <range startItem="0">
              <i n="[categorie].[Catégories].&amp;[Biscuits]" c="Biscuits"/>
              <i n="[categorie].[Catégories].&amp;[Consoles]" c="Consoles"/>
              <i n="[categorie].[Catégories].&amp;[Electro]" c="Electro"/>
              <i n="[categorie].[Catégories].&amp;[Ordinateur]" c="Ordinateur"/>
              <i n="[categorie].[Catégories].&amp;[SmartPhone]" c="SmartPhone"/>
              <i n="[categorie].[Catégories].&amp;[100]" c="100" nd="1"/>
            </range>
          </ranges>
        </level>
      </levels>
      <selections count="1">
        <selection n="[categorie].[Catégorie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s" xr10:uid="{5106F22E-7966-4C2B-A1D0-067D6EA42838}" cache="Segment_Catégories" caption="Catégories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FE4F2C-096B-451F-A7BB-493E6AD9AEBF}" name="TableauMarchandise" displayName="TableauMarchandise" ref="C14:J26" totalsRowShown="0" headerRowDxfId="54" dataDxfId="53">
  <autoFilter ref="C14:J26" xr:uid="{0CFE4F2C-096B-451F-A7BB-493E6AD9AEBF}"/>
  <tableColumns count="8">
    <tableColumn id="1" xr3:uid="{CAF52960-612E-4B08-8A47-B434BDB1022D}" name="Référence" dataDxfId="52"/>
    <tableColumn id="2" xr3:uid="{BD221DB8-F44B-457A-A4AB-DA365CE51E6F}" name="Désignation" dataDxfId="51"/>
    <tableColumn id="3" xr3:uid="{2F6B6702-C3A4-40DA-83B1-8940308A2CFB}" name="Catégorie" dataDxfId="50"/>
    <tableColumn id="4" xr3:uid="{DEC83D86-C11B-44D1-A59E-BEBE283428C0}" name="Unité" dataDxfId="49"/>
    <tableColumn id="5" xr3:uid="{9904BD21-8500-49CF-B6BF-A4F96C4C1F58}" name="Seuil d'alerte" dataDxfId="48"/>
    <tableColumn id="6" xr3:uid="{BA508421-015A-49C5-87C6-F2B0267EBB8B}" name="Stock initial" dataDxfId="47"/>
    <tableColumn id="7" xr3:uid="{9BD56689-BAE8-4AAC-82C3-8482F0577A0B}" name="Prix unitaire" dataDxfId="46"/>
    <tableColumn id="8" xr3:uid="{65FEEBEF-923F-4769-867E-6A08D6F9F126}" name="Total" dataDxfId="45">
      <calculatedColumnFormula>TableauMarchandise[[#This Row],[Stock initial]]*TableauMarchandise[[#This Row],[Prix unitaire]]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F022FE-27D8-48D3-AF43-174368A59BED}" name="TableauEntrée" displayName="TableauEntrée" ref="C6:K11" totalsRowShown="0" headerRowDxfId="44" dataDxfId="43">
  <autoFilter ref="C6:K11" xr:uid="{3CF022FE-27D8-48D3-AF43-174368A59BED}"/>
  <tableColumns count="9">
    <tableColumn id="1" xr3:uid="{C82334AA-29C7-407E-993B-1A4A8362EE1B}" name="Numéro" dataDxfId="42"/>
    <tableColumn id="2" xr3:uid="{A256D9A8-BB94-4FB9-9E55-11DF915BB398}" name="Date" dataDxfId="41"/>
    <tableColumn id="3" xr3:uid="{76C935FF-3C9F-443C-8E76-F6AE8F9E7C27}" name="Référence" dataDxfId="40"/>
    <tableColumn id="4" xr3:uid="{526AA994-E95F-4670-914B-EE839089F1D1}" name="Désignation" dataDxfId="39"/>
    <tableColumn id="5" xr3:uid="{6FAB0953-1973-4B63-9D47-C0BA881D6402}" name="Catégorie" dataDxfId="38"/>
    <tableColumn id="6" xr3:uid="{DE88CD8A-6CC9-4051-B7D6-6522AE5A94FE}" name="Unité" dataDxfId="37"/>
    <tableColumn id="7" xr3:uid="{3DFC65D2-4167-490B-8796-20791C9C2813}" name="Coût d'achat" dataDxfId="36"/>
    <tableColumn id="8" xr3:uid="{45DE615C-44A3-4C12-9DBC-F47BDE0B4700}" name="Quantité" dataDxfId="35"/>
    <tableColumn id="9" xr3:uid="{F8059FB7-A3ED-480A-BD29-2BC6E78169A1}" name="Total" dataDxfId="34">
      <calculatedColumnFormula>TableauEntrée[[#This Row],[Quantité]]*TableauEntrée[[#This Row],[Coût d''achat]]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DA398B-C271-4A55-9C2E-40ECAE101F47}" name="reference" displayName="reference" ref="F1:F13" totalsRowShown="0">
  <autoFilter ref="F1:F13" xr:uid="{2ADA398B-C271-4A55-9C2E-40ECAE101F47}"/>
  <tableColumns count="1">
    <tableColumn id="1" xr3:uid="{70A3075A-72D7-4B26-83F8-70EE15EECCEE}" name="Réfé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61967E-5C3C-4A6E-ADCE-0D3366E1D6B4}" name="categorie" displayName="categorie" ref="H1:H7" totalsRowShown="0">
  <autoFilter ref="H1:H7" xr:uid="{6F61967E-5C3C-4A6E-ADCE-0D3366E1D6B4}"/>
  <tableColumns count="1">
    <tableColumn id="1" xr3:uid="{B9DA6E8C-CAA8-40A0-B1B5-F296C7E19A9D}" name="Catégori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126F59-F761-4373-BDFB-05BA6AF3643E}" name="jours" displayName="jours" ref="J1:J7" totalsRowShown="0">
  <autoFilter ref="J1:J7" xr:uid="{F5126F59-F761-4373-BDFB-05BA6AF3643E}"/>
  <tableColumns count="1">
    <tableColumn id="1" xr3:uid="{ECDFDF95-B3B2-4FB3-A070-F5C6E77CB07C}" name="Jou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8C3924-DB08-4476-AA4C-7D9A8033DECA}" name="TableauSorties" displayName="TableauSorties" ref="C6:K12" totalsRowShown="0" headerRowDxfId="29" dataDxfId="28">
  <autoFilter ref="C6:K12" xr:uid="{168C3924-DB08-4476-AA4C-7D9A8033DECA}"/>
  <tableColumns count="9">
    <tableColumn id="1" xr3:uid="{58FBDEF4-10E8-4F9F-B9A0-BC4DDF1DDE50}" name="Numéro" dataDxfId="27">
      <calculatedColumnFormula>C14+1</calculatedColumnFormula>
    </tableColumn>
    <tableColumn id="2" xr3:uid="{B18AB855-7FFC-4B1C-9E6E-F3A3861812B3}" name="Date" dataDxfId="26"/>
    <tableColumn id="3" xr3:uid="{8F72E012-FF2E-483F-BD0E-11885A768E69}" name="Référence" dataDxfId="25"/>
    <tableColumn id="4" xr3:uid="{4C9152EB-06B8-4E99-8004-E966569FB4BC}" name="Désignation" dataDxfId="24"/>
    <tableColumn id="5" xr3:uid="{D34E150A-7B37-428D-A502-D82013513F58}" name="Catégorie" dataDxfId="23">
      <calculatedColumnFormula>IFERROR(VLOOKUP(#REF!,TableauMarchandise[],3,FALSE),"")</calculatedColumnFormula>
    </tableColumn>
    <tableColumn id="6" xr3:uid="{47A39428-700F-473E-9FF8-11C6C9646E3A}" name="Unité" dataDxfId="22"/>
    <tableColumn id="7" xr3:uid="{1845AF36-B9D7-4EC1-BED6-1ABDD9F9F2EC}" name="Coût d'achat" dataDxfId="21"/>
    <tableColumn id="8" xr3:uid="{C7910271-35C5-4C81-BB43-2CBB4075C10A}" name="Quantité" dataDxfId="20"/>
    <tableColumn id="9" xr3:uid="{D0CAC26F-BEB2-434A-B3AB-9A62FD1AFB64}" name="Total" dataDxfId="19">
      <calculatedColumnFormula>TableauSorties[[#This Row],[Quantité]]*TableauSorties[[#This Row],[Coût d''achat]]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83B62C-D290-4F6A-9B6A-BF82F3057F47}" name="TableauInventaire" displayName="TableauInventaire" ref="C6:N17" totalsRowShown="0" headerRowDxfId="13" dataDxfId="12">
  <autoFilter ref="C6:N17" xr:uid="{8D83B62C-D290-4F6A-9B6A-BF82F3057F47}"/>
  <tableColumns count="12">
    <tableColumn id="1" xr3:uid="{623F21EB-F763-4573-89FE-48979896498C}" name="Référence" dataDxfId="11"/>
    <tableColumn id="2" xr3:uid="{47E85B79-D48F-49EC-953D-63E9A2854227}" name="Désignation" dataDxfId="10">
      <calculatedColumnFormula>VLOOKUP(TableauInventaire[[#This Row],[Référence]],TableauMarchandise[],2,FALSE)</calculatedColumnFormula>
    </tableColumn>
    <tableColumn id="3" xr3:uid="{0000497F-F912-475E-A184-52C7F554766D}" name="Catégorie" dataDxfId="9">
      <calculatedColumnFormula>VLOOKUP(TableauInventaire[[#This Row],[Référence]],TableauMarchandise[],3,FALSE)</calculatedColumnFormula>
    </tableColumn>
    <tableColumn id="4" xr3:uid="{7458927E-D37B-4407-90A0-6B73FCC6BD40}" name="Unité" dataDxfId="8">
      <calculatedColumnFormula>VLOOKUP(TableauInventaire[[#This Row],[Référence]],TableauMarchandise[],4,FALSE)</calculatedColumnFormula>
    </tableColumn>
    <tableColumn id="5" xr3:uid="{1188A675-AFF7-472C-B60C-F4F7E26C2DC7}" name="Seuil d'alerte" dataDxfId="7">
      <calculatedColumnFormula>IFERROR(VLOOKUP(TableauInventaire[[#This Row],[Référence]],TableauMarchandise[],5,FALSE),"")</calculatedColumnFormula>
    </tableColumn>
    <tableColumn id="6" xr3:uid="{E55EB371-D7DE-4A52-898C-383C80AEB5FD}" name="Stock initial" dataDxfId="6">
      <calculatedColumnFormula>VLOOKUP(TableauInventaire[[#This Row],[Référence]],TableauMarchandise[],6,FALSE)</calculatedColumnFormula>
    </tableColumn>
    <tableColumn id="7" xr3:uid="{F23A7309-FF51-47EC-881C-2E9F881068F3}" name="Entrées" dataDxfId="5">
      <calculatedColumnFormula>SUMIF(TableauEntrée[Référence],TableauInventaire[Référence],TableauEntrée[Quantité])</calculatedColumnFormula>
    </tableColumn>
    <tableColumn id="8" xr3:uid="{F1FF3591-AD27-4B0C-A1D4-08042CFC7DFE}" name="Sorties" dataDxfId="4">
      <calculatedColumnFormula>SUMIF(TableauSorties[Référence],TableauInventaire[Référence],TableauSorties[Quantité])</calculatedColumnFormula>
    </tableColumn>
    <tableColumn id="10" xr3:uid="{16E36EAD-FE8D-4BED-AD99-7DFDE6A6C391}" name="Stock final" dataDxfId="3">
      <calculatedColumnFormula>TableauInventaire[[#This Row],[Stock initial]]+TableauInventaire[[#This Row],[Entrées]]-J7</calculatedColumnFormula>
    </tableColumn>
    <tableColumn id="11" xr3:uid="{41193A54-1A86-4EDA-95DE-6B1F4AC00235}" name="CUMP" dataDxfId="2">
      <calculatedColumnFormula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calculatedColumnFormula>
    </tableColumn>
    <tableColumn id="12" xr3:uid="{D1122F76-7578-4532-A8AB-931764098FAE}" name="Valeur" dataDxfId="1">
      <calculatedColumnFormula>TableauInventaire[[#This Row],[CUMP]]*TableauInventaire[[#This Row],[Stock final]]</calculatedColumnFormula>
    </tableColumn>
    <tableColumn id="9" xr3:uid="{9E2D1323-7CF3-4A46-9C4E-9694FB9FE595}" name="Statue" dataDxfId="0">
      <calculatedColumnFormula>IF(TableauInventaire[[#This Row],[Stock final]]&gt;TableauInventaire[[#This Row],[Seuil d''alerte]],"Stock normal",IF(TableauInventaire[[#This Row],[Stock final]]=0,"Non disponible","Stock faible"))</calculatedColumnFormula>
    </tableColumn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5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4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3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drawing" Target="../drawings/drawing3.xml"/><Relationship Id="rId10" Type="http://schemas.openxmlformats.org/officeDocument/2006/relationships/pivotTable" Target="../pivotTables/pivotTable10.xml"/><Relationship Id="rId19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4906E-EE06-4642-AD83-BD927EA45A32}">
  <sheetPr codeName="Feuil1"/>
  <dimension ref="A1:R21"/>
  <sheetViews>
    <sheetView showGridLines="0" topLeftCell="D4" zoomScale="110" zoomScaleNormal="110" workbookViewId="0">
      <selection activeCell="G8" sqref="G8"/>
    </sheetView>
  </sheetViews>
  <sheetFormatPr baseColWidth="10" defaultRowHeight="15" x14ac:dyDescent="0.25"/>
  <cols>
    <col min="1" max="5" width="8.7109375" style="1" customWidth="1"/>
    <col min="6" max="6" width="7.7109375" style="1" customWidth="1"/>
    <col min="7" max="7" width="29.5703125" style="1" customWidth="1"/>
    <col min="8" max="8" width="18.7109375" style="1" customWidth="1"/>
    <col min="9" max="9" width="26.7109375" style="1" customWidth="1"/>
    <col min="10" max="10" width="19.7109375" style="1" customWidth="1"/>
    <col min="11" max="11" width="7.7109375" style="1" customWidth="1"/>
    <col min="12" max="17" width="11.42578125" style="1"/>
    <col min="18" max="18" width="11.5703125" style="1" customWidth="1"/>
    <col min="19" max="16384" width="11.42578125" style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15" customHeight="1" x14ac:dyDescent="0.25">
      <c r="A3" s="3"/>
      <c r="B3" s="3"/>
      <c r="C3" s="3"/>
      <c r="D3" s="3"/>
      <c r="E3" s="3"/>
      <c r="F3" s="2"/>
      <c r="G3" s="42"/>
      <c r="H3" s="42"/>
      <c r="I3" s="42"/>
      <c r="J3" s="2"/>
      <c r="K3" s="2"/>
      <c r="L3" s="3"/>
      <c r="M3" s="3"/>
      <c r="N3" s="3"/>
      <c r="O3" s="3"/>
      <c r="P3" s="3"/>
    </row>
    <row r="4" spans="1:18" ht="18" x14ac:dyDescent="0.25">
      <c r="F4" s="2"/>
      <c r="G4" s="43" t="s">
        <v>39</v>
      </c>
      <c r="H4" s="44"/>
      <c r="I4" s="2"/>
      <c r="J4" s="2"/>
      <c r="K4" s="2"/>
    </row>
    <row r="5" spans="1:18" x14ac:dyDescent="0.25">
      <c r="F5" s="2"/>
      <c r="G5" s="2" t="s">
        <v>37</v>
      </c>
      <c r="H5" s="2"/>
      <c r="I5" s="2"/>
      <c r="J5" s="2"/>
      <c r="K5" s="2"/>
    </row>
    <row r="6" spans="1:18" x14ac:dyDescent="0.25">
      <c r="F6" s="2"/>
      <c r="G6" s="2"/>
      <c r="H6" s="2"/>
      <c r="I6" s="2"/>
      <c r="J6" s="2"/>
      <c r="K6" s="2"/>
    </row>
    <row r="7" spans="1:18" ht="17.100000000000001" customHeight="1" x14ac:dyDescent="0.25">
      <c r="F7" s="2"/>
      <c r="G7" s="30" t="s">
        <v>2</v>
      </c>
      <c r="H7" s="2"/>
      <c r="I7" s="30" t="s">
        <v>34</v>
      </c>
      <c r="J7" s="2"/>
      <c r="K7" s="2"/>
    </row>
    <row r="8" spans="1:18" ht="18.95" customHeight="1" x14ac:dyDescent="0.3">
      <c r="F8" s="2"/>
      <c r="G8" s="31"/>
      <c r="H8" s="2"/>
      <c r="I8" s="33"/>
      <c r="J8" s="2"/>
      <c r="K8" s="2"/>
    </row>
    <row r="9" spans="1:18" ht="17.100000000000001" customHeight="1" x14ac:dyDescent="0.25">
      <c r="F9" s="2"/>
      <c r="G9" s="30" t="s">
        <v>3</v>
      </c>
      <c r="H9" s="2"/>
      <c r="I9" s="30" t="s">
        <v>38</v>
      </c>
      <c r="J9" s="2"/>
      <c r="K9" s="2"/>
    </row>
    <row r="10" spans="1:18" ht="18.95" customHeight="1" x14ac:dyDescent="0.3">
      <c r="F10" s="2"/>
      <c r="G10" s="31" t="str">
        <f>IFERROR(VLOOKUP(G8,TableauMarchandise[],2,FALSE),"")</f>
        <v/>
      </c>
      <c r="H10" s="2"/>
      <c r="I10" s="32"/>
      <c r="J10" s="2"/>
      <c r="K10" s="2"/>
    </row>
    <row r="11" spans="1:18" ht="17.100000000000001" customHeight="1" x14ac:dyDescent="0.25">
      <c r="F11" s="2"/>
      <c r="G11" s="30" t="s">
        <v>4</v>
      </c>
      <c r="H11" s="2"/>
      <c r="I11" s="30" t="s">
        <v>36</v>
      </c>
      <c r="J11" s="2"/>
      <c r="K11" s="2"/>
    </row>
    <row r="12" spans="1:18" ht="17.100000000000001" customHeight="1" x14ac:dyDescent="0.3">
      <c r="F12" s="2"/>
      <c r="G12" s="31"/>
      <c r="H12" s="2"/>
      <c r="I12" s="34"/>
      <c r="J12" s="2"/>
      <c r="K12" s="2"/>
    </row>
    <row r="13" spans="1:18" ht="17.100000000000001" customHeight="1" x14ac:dyDescent="0.25">
      <c r="F13" s="2"/>
      <c r="G13" s="30" t="s">
        <v>5</v>
      </c>
      <c r="H13" s="2"/>
      <c r="I13" s="30" t="s">
        <v>9</v>
      </c>
      <c r="J13" s="2"/>
      <c r="K13" s="2"/>
    </row>
    <row r="14" spans="1:18" ht="17.100000000000001" customHeight="1" x14ac:dyDescent="0.3">
      <c r="F14" s="2"/>
      <c r="G14" s="31"/>
      <c r="H14" s="2"/>
      <c r="I14" s="32">
        <f>I10*I12</f>
        <v>0</v>
      </c>
      <c r="J14" s="2"/>
      <c r="K14" s="2"/>
    </row>
    <row r="15" spans="1:18" ht="17.100000000000001" customHeight="1" x14ac:dyDescent="0.25">
      <c r="F15" s="2"/>
      <c r="G15" s="2"/>
      <c r="H15" s="2"/>
      <c r="I15" s="2"/>
      <c r="J15" s="2"/>
      <c r="K15" s="2"/>
    </row>
    <row r="16" spans="1:18" ht="17.100000000000001" customHeight="1" x14ac:dyDescent="0.25">
      <c r="F16" s="2"/>
      <c r="G16" s="2"/>
      <c r="H16" s="2"/>
      <c r="I16" s="2"/>
      <c r="J16" s="2"/>
      <c r="K16" s="2"/>
    </row>
    <row r="17" spans="6:11" ht="17.100000000000001" customHeight="1" x14ac:dyDescent="0.25">
      <c r="F17" s="2"/>
      <c r="G17" s="2"/>
      <c r="H17" s="2"/>
      <c r="I17" s="2"/>
      <c r="J17" s="2"/>
      <c r="K17" s="2"/>
    </row>
    <row r="18" spans="6:11" ht="17.100000000000001" customHeight="1" x14ac:dyDescent="0.25">
      <c r="F18" s="2"/>
      <c r="G18" s="2"/>
      <c r="H18" s="2"/>
      <c r="I18" s="2"/>
      <c r="J18" s="2"/>
      <c r="K18" s="2"/>
    </row>
    <row r="19" spans="6:11" ht="17.100000000000001" customHeight="1" x14ac:dyDescent="0.25">
      <c r="F19" s="2"/>
      <c r="G19" s="2"/>
      <c r="H19" s="2"/>
      <c r="I19" s="2"/>
      <c r="J19" s="2"/>
      <c r="K19" s="2"/>
    </row>
    <row r="20" spans="6:11" ht="17.100000000000001" customHeight="1" x14ac:dyDescent="0.25">
      <c r="F20" s="2"/>
      <c r="G20" s="2"/>
      <c r="H20" s="2"/>
      <c r="I20" s="2"/>
      <c r="J20" s="2"/>
      <c r="K20" s="2"/>
    </row>
    <row r="21" spans="6:11" ht="17.100000000000001" customHeight="1" x14ac:dyDescent="0.25">
      <c r="F21" s="2"/>
      <c r="G21" s="2"/>
      <c r="H21" s="2"/>
      <c r="I21" s="2"/>
      <c r="J21" s="2"/>
      <c r="K21" s="2"/>
    </row>
  </sheetData>
  <mergeCells count="2">
    <mergeCell ref="G3:I3"/>
    <mergeCell ref="G4:H4"/>
  </mergeCells>
  <dataValidations count="1">
    <dataValidation type="date" operator="greaterThan" allowBlank="1" showInputMessage="1" showErrorMessage="1" errorTitle="Date incorrecte" error="Veuillez saisir une date correcte" sqref="I8" xr:uid="{D91EF7C9-01E7-4A04-8F44-164681D9525E}">
      <formula1>46203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F7565-E43E-41A4-A5AF-EC9945E2E6B3}">
  <sheetPr codeName="Feuil2"/>
  <dimension ref="A1:R35"/>
  <sheetViews>
    <sheetView showGridLines="0" topLeftCell="A10" workbookViewId="0">
      <selection activeCell="I15" sqref="I15"/>
    </sheetView>
  </sheetViews>
  <sheetFormatPr baseColWidth="10" defaultRowHeight="15" x14ac:dyDescent="0.25"/>
  <cols>
    <col min="1" max="2" width="11.42578125" style="1"/>
    <col min="3" max="3" width="16.42578125" style="1" customWidth="1"/>
    <col min="4" max="4" width="24.7109375" style="1" customWidth="1"/>
    <col min="5" max="8" width="19.7109375" style="1" customWidth="1"/>
    <col min="9" max="10" width="16.42578125" style="1" customWidth="1"/>
    <col min="11" max="17" width="11.42578125" style="1"/>
    <col min="18" max="18" width="11.5703125" style="1" customWidth="1"/>
    <col min="19" max="16384" width="11.42578125" style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15" customHeight="1" x14ac:dyDescent="0.25">
      <c r="A3" s="3"/>
      <c r="B3" s="2"/>
      <c r="C3" s="42" t="s">
        <v>1</v>
      </c>
      <c r="D3" s="42"/>
      <c r="E3" s="42"/>
      <c r="F3" s="2"/>
      <c r="G3" s="2"/>
      <c r="H3" s="2"/>
      <c r="I3" s="2"/>
      <c r="J3" s="2"/>
      <c r="K3" s="2"/>
      <c r="L3" s="3"/>
      <c r="M3" s="3"/>
      <c r="N3" s="3"/>
      <c r="O3" s="3"/>
      <c r="P3" s="3"/>
    </row>
    <row r="4" spans="1:18" x14ac:dyDescent="0.25">
      <c r="B4" s="2"/>
      <c r="C4" s="2" t="s">
        <v>0</v>
      </c>
      <c r="D4" s="2"/>
      <c r="E4" s="2"/>
      <c r="F4" s="2"/>
      <c r="G4" s="2"/>
      <c r="H4" s="2"/>
      <c r="I4" s="2"/>
      <c r="J4" s="2"/>
      <c r="K4" s="2"/>
    </row>
    <row r="5" spans="1:18" ht="15.75" thickBot="1" x14ac:dyDescent="0.3">
      <c r="B5" s="2"/>
      <c r="C5" s="2"/>
      <c r="D5" s="2"/>
      <c r="E5" s="2"/>
      <c r="F5" s="2"/>
      <c r="G5" s="2"/>
      <c r="H5" s="2"/>
      <c r="I5" s="2"/>
      <c r="J5" s="2"/>
      <c r="K5" s="2"/>
    </row>
    <row r="6" spans="1:18" ht="17.25" thickTop="1" thickBot="1" x14ac:dyDescent="0.35">
      <c r="B6" s="2"/>
      <c r="C6" s="4" t="s">
        <v>2</v>
      </c>
      <c r="D6" s="7"/>
      <c r="E6" s="4" t="s">
        <v>6</v>
      </c>
      <c r="F6" s="7">
        <v>0</v>
      </c>
      <c r="G6" s="2"/>
      <c r="H6" s="2"/>
      <c r="I6" s="2"/>
      <c r="J6" s="2"/>
      <c r="K6" s="2"/>
    </row>
    <row r="7" spans="1:18" ht="17.25" thickTop="1" thickBot="1" x14ac:dyDescent="0.35">
      <c r="B7" s="2"/>
      <c r="C7" s="4" t="s">
        <v>3</v>
      </c>
      <c r="D7" s="7"/>
      <c r="E7" s="4" t="s">
        <v>7</v>
      </c>
      <c r="F7" s="7">
        <v>0</v>
      </c>
      <c r="G7" s="2"/>
      <c r="H7" s="2"/>
      <c r="I7" s="2"/>
      <c r="J7" s="2"/>
      <c r="K7" s="2"/>
    </row>
    <row r="8" spans="1:18" ht="17.25" thickTop="1" thickBot="1" x14ac:dyDescent="0.35">
      <c r="B8" s="2"/>
      <c r="C8" s="4" t="s">
        <v>4</v>
      </c>
      <c r="D8" s="7"/>
      <c r="E8" s="4" t="s">
        <v>8</v>
      </c>
      <c r="F8" s="8">
        <v>0</v>
      </c>
      <c r="G8" s="2"/>
      <c r="H8" s="2"/>
      <c r="I8" s="2"/>
      <c r="J8" s="2"/>
      <c r="K8" s="2"/>
    </row>
    <row r="9" spans="1:18" ht="17.25" thickTop="1" thickBot="1" x14ac:dyDescent="0.35">
      <c r="B9" s="2"/>
      <c r="C9" s="4" t="s">
        <v>5</v>
      </c>
      <c r="D9" s="7"/>
      <c r="E9" s="4" t="s">
        <v>9</v>
      </c>
      <c r="F9" s="8">
        <f>F7*F8</f>
        <v>0</v>
      </c>
      <c r="G9" s="2"/>
      <c r="H9" s="2"/>
      <c r="I9" s="2"/>
      <c r="J9" s="2"/>
      <c r="K9" s="2"/>
    </row>
    <row r="10" spans="1:18" ht="15.75" thickTop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8" ht="18" x14ac:dyDescent="0.25">
      <c r="B11" s="2"/>
      <c r="C11" s="45"/>
      <c r="D11" s="45"/>
      <c r="E11" s="45"/>
      <c r="F11" s="2"/>
      <c r="G11" s="2"/>
      <c r="H11" s="2"/>
      <c r="I11" s="2"/>
      <c r="J11" s="2"/>
      <c r="K11" s="2"/>
    </row>
    <row r="12" spans="1:18" ht="18" x14ac:dyDescent="0.25">
      <c r="B12" s="2"/>
      <c r="C12" s="43" t="s">
        <v>10</v>
      </c>
      <c r="D12" s="44"/>
      <c r="E12" s="2"/>
      <c r="F12" s="2"/>
      <c r="G12" s="2"/>
      <c r="H12" s="2"/>
      <c r="I12" s="2"/>
      <c r="J12" s="2"/>
      <c r="K12" s="2"/>
    </row>
    <row r="13" spans="1:18" ht="18" x14ac:dyDescent="0.25">
      <c r="B13" s="2"/>
      <c r="C13" s="5"/>
      <c r="D13" s="6"/>
      <c r="E13" s="2"/>
      <c r="F13" s="2"/>
      <c r="G13" s="2"/>
      <c r="H13" s="2"/>
      <c r="I13" s="2"/>
      <c r="J13" s="2"/>
      <c r="K13" s="2"/>
    </row>
    <row r="14" spans="1:18" x14ac:dyDescent="0.25">
      <c r="B14" s="2"/>
      <c r="C14" s="10" t="s">
        <v>2</v>
      </c>
      <c r="D14" s="10" t="s">
        <v>3</v>
      </c>
      <c r="E14" s="10" t="s">
        <v>4</v>
      </c>
      <c r="F14" s="10" t="s">
        <v>5</v>
      </c>
      <c r="G14" s="10" t="s">
        <v>6</v>
      </c>
      <c r="H14" s="10" t="s">
        <v>7</v>
      </c>
      <c r="I14" s="11" t="s">
        <v>8</v>
      </c>
      <c r="J14" s="12" t="s">
        <v>9</v>
      </c>
      <c r="K14" s="2"/>
    </row>
    <row r="15" spans="1:18" ht="16.5" x14ac:dyDescent="0.3">
      <c r="B15" s="2"/>
      <c r="C15" s="9" t="s">
        <v>11</v>
      </c>
      <c r="D15" s="14" t="s">
        <v>13</v>
      </c>
      <c r="E15" s="9" t="s">
        <v>14</v>
      </c>
      <c r="F15" s="9" t="s">
        <v>15</v>
      </c>
      <c r="G15" s="14">
        <v>10</v>
      </c>
      <c r="H15" s="9">
        <v>3</v>
      </c>
      <c r="I15" s="9">
        <v>1200</v>
      </c>
      <c r="J15" s="17">
        <f>TableauMarchandise[[#This Row],[Stock initial]]*TableauMarchandise[[#This Row],[Prix unitaire]]</f>
        <v>3600</v>
      </c>
      <c r="K15" s="2"/>
    </row>
    <row r="16" spans="1:18" ht="16.5" x14ac:dyDescent="0.3">
      <c r="B16" s="2"/>
      <c r="C16" s="9" t="s">
        <v>12</v>
      </c>
      <c r="D16" s="14" t="s">
        <v>16</v>
      </c>
      <c r="E16" s="9" t="s">
        <v>14</v>
      </c>
      <c r="F16" s="9" t="s">
        <v>15</v>
      </c>
      <c r="G16" s="14">
        <v>10</v>
      </c>
      <c r="H16" s="9">
        <v>5</v>
      </c>
      <c r="I16" s="9">
        <v>1000</v>
      </c>
      <c r="J16" s="17">
        <f>TableauMarchandise[[#This Row],[Stock initial]]*TableauMarchandise[[#This Row],[Prix unitaire]]</f>
        <v>5000</v>
      </c>
      <c r="K16" s="2"/>
    </row>
    <row r="17" spans="2:11" ht="16.5" x14ac:dyDescent="0.3">
      <c r="B17" s="2"/>
      <c r="C17" s="14" t="s">
        <v>17</v>
      </c>
      <c r="D17" s="14" t="s">
        <v>30</v>
      </c>
      <c r="E17" s="14" t="s">
        <v>18</v>
      </c>
      <c r="F17" s="14" t="s">
        <v>15</v>
      </c>
      <c r="G17" s="14">
        <v>100</v>
      </c>
      <c r="H17" s="14">
        <v>60</v>
      </c>
      <c r="I17" s="9">
        <v>0.2</v>
      </c>
      <c r="J17" s="18">
        <f>TableauMarchandise[[#This Row],[Stock initial]]*TableauMarchandise[[#This Row],[Prix unitaire]]</f>
        <v>12</v>
      </c>
      <c r="K17" s="2"/>
    </row>
    <row r="18" spans="2:11" ht="16.5" x14ac:dyDescent="0.3">
      <c r="B18" s="2"/>
      <c r="C18" s="14" t="s">
        <v>19</v>
      </c>
      <c r="D18" s="14" t="s">
        <v>20</v>
      </c>
      <c r="E18" s="14" t="s">
        <v>21</v>
      </c>
      <c r="F18" s="14" t="s">
        <v>15</v>
      </c>
      <c r="G18" s="9">
        <v>5</v>
      </c>
      <c r="H18" s="9">
        <v>3</v>
      </c>
      <c r="I18" s="14">
        <v>900</v>
      </c>
      <c r="J18" s="18">
        <f>TableauMarchandise[[#This Row],[Stock initial]]*TableauMarchandise[[#This Row],[Prix unitaire]]</f>
        <v>2700</v>
      </c>
      <c r="K18" s="2"/>
    </row>
    <row r="19" spans="2:11" ht="16.5" x14ac:dyDescent="0.3">
      <c r="B19" s="2"/>
      <c r="C19" s="14" t="s">
        <v>22</v>
      </c>
      <c r="D19" s="14" t="s">
        <v>23</v>
      </c>
      <c r="E19" s="14" t="s">
        <v>24</v>
      </c>
      <c r="F19" s="14" t="s">
        <v>15</v>
      </c>
      <c r="G19" s="9">
        <v>5</v>
      </c>
      <c r="H19" s="9">
        <v>6</v>
      </c>
      <c r="I19" s="14">
        <v>300</v>
      </c>
      <c r="J19" s="18">
        <f>TableauMarchandise[[#This Row],[Stock initial]]*TableauMarchandise[[#This Row],[Prix unitaire]]</f>
        <v>1800</v>
      </c>
      <c r="K19" s="2"/>
    </row>
    <row r="20" spans="2:11" ht="16.5" x14ac:dyDescent="0.3">
      <c r="B20" s="2"/>
      <c r="C20" s="14" t="s">
        <v>25</v>
      </c>
      <c r="D20" s="14" t="s">
        <v>26</v>
      </c>
      <c r="E20" s="14" t="s">
        <v>27</v>
      </c>
      <c r="F20" s="14" t="s">
        <v>15</v>
      </c>
      <c r="G20" s="9">
        <v>5</v>
      </c>
      <c r="H20" s="9">
        <v>7</v>
      </c>
      <c r="I20" s="14">
        <v>1200</v>
      </c>
      <c r="J20" s="18">
        <f>TableauMarchandise[[#This Row],[Stock initial]]*TableauMarchandise[[#This Row],[Prix unitaire]]</f>
        <v>8400</v>
      </c>
      <c r="K20" s="2"/>
    </row>
    <row r="21" spans="2:11" ht="16.5" x14ac:dyDescent="0.3">
      <c r="B21" s="2"/>
      <c r="C21" s="14" t="s">
        <v>28</v>
      </c>
      <c r="D21" s="14" t="s">
        <v>29</v>
      </c>
      <c r="E21" s="14" t="s">
        <v>24</v>
      </c>
      <c r="F21" s="14" t="s">
        <v>15</v>
      </c>
      <c r="G21" s="14">
        <v>10</v>
      </c>
      <c r="H21" s="9">
        <v>4</v>
      </c>
      <c r="I21" s="14">
        <v>150</v>
      </c>
      <c r="J21" s="18">
        <f>TableauMarchandise[[#This Row],[Stock initial]]*TableauMarchandise[[#This Row],[Prix unitaire]]</f>
        <v>600</v>
      </c>
      <c r="K21" s="2"/>
    </row>
    <row r="22" spans="2:11" ht="15.75" x14ac:dyDescent="0.3">
      <c r="B22" s="2"/>
      <c r="C22" s="23" t="s">
        <v>48</v>
      </c>
      <c r="D22" s="23" t="s">
        <v>29</v>
      </c>
      <c r="E22" s="23" t="s">
        <v>24</v>
      </c>
      <c r="F22" s="23" t="s">
        <v>15</v>
      </c>
      <c r="G22" s="23">
        <v>10</v>
      </c>
      <c r="H22" s="23">
        <v>8</v>
      </c>
      <c r="I22" s="23">
        <v>130</v>
      </c>
      <c r="J22" s="29">
        <f>TableauMarchandise[[#This Row],[Stock initial]]*TableauMarchandise[[#This Row],[Prix unitaire]]</f>
        <v>1040</v>
      </c>
      <c r="K22" s="2"/>
    </row>
    <row r="23" spans="2:11" ht="15.75" x14ac:dyDescent="0.3">
      <c r="B23" s="2"/>
      <c r="C23" s="23" t="s">
        <v>49</v>
      </c>
      <c r="D23" s="23" t="s">
        <v>29</v>
      </c>
      <c r="E23" s="23" t="s">
        <v>24</v>
      </c>
      <c r="F23" s="23" t="s">
        <v>15</v>
      </c>
      <c r="G23" s="23">
        <v>10</v>
      </c>
      <c r="H23" s="23">
        <v>10</v>
      </c>
      <c r="I23" s="23">
        <v>120</v>
      </c>
      <c r="J23" s="29">
        <f>TableauMarchandise[[#This Row],[Stock initial]]*TableauMarchandise[[#This Row],[Prix unitaire]]</f>
        <v>1200</v>
      </c>
      <c r="K23" s="2"/>
    </row>
    <row r="24" spans="2:11" ht="15.75" x14ac:dyDescent="0.3">
      <c r="B24" s="2"/>
      <c r="C24" s="23" t="s">
        <v>47</v>
      </c>
      <c r="D24" s="23" t="s">
        <v>30</v>
      </c>
      <c r="E24" s="23" t="s">
        <v>18</v>
      </c>
      <c r="F24" s="23" t="s">
        <v>31</v>
      </c>
      <c r="G24" s="23">
        <v>50</v>
      </c>
      <c r="H24" s="23">
        <v>10</v>
      </c>
      <c r="I24" s="23">
        <v>1.5</v>
      </c>
      <c r="J24" s="29">
        <f>TableauMarchandise[[#This Row],[Stock initial]]*TableauMarchandise[[#This Row],[Prix unitaire]]</f>
        <v>15</v>
      </c>
      <c r="K24" s="2"/>
    </row>
    <row r="25" spans="2:11" ht="15.75" x14ac:dyDescent="0.3">
      <c r="B25" s="2"/>
      <c r="C25" s="23" t="s">
        <v>50</v>
      </c>
      <c r="D25" s="23" t="s">
        <v>29</v>
      </c>
      <c r="E25" s="23" t="s">
        <v>24</v>
      </c>
      <c r="F25" s="23" t="s">
        <v>15</v>
      </c>
      <c r="G25" s="23">
        <v>5</v>
      </c>
      <c r="H25" s="23">
        <v>5</v>
      </c>
      <c r="I25" s="23">
        <v>110</v>
      </c>
      <c r="J25" s="29">
        <f>TableauMarchandise[[#This Row],[Stock initial]]*TableauMarchandise[[#This Row],[Prix unitaire]]</f>
        <v>550</v>
      </c>
      <c r="K25" s="2"/>
    </row>
    <row r="26" spans="2:11" ht="16.5" x14ac:dyDescent="0.3">
      <c r="B26" s="13"/>
      <c r="C26" s="14" t="s">
        <v>46</v>
      </c>
      <c r="D26" s="14" t="s">
        <v>30</v>
      </c>
      <c r="E26" s="14" t="s">
        <v>18</v>
      </c>
      <c r="F26" s="14" t="s">
        <v>31</v>
      </c>
      <c r="G26" s="14">
        <v>100</v>
      </c>
      <c r="H26" s="14">
        <v>74</v>
      </c>
      <c r="I26" s="9">
        <v>2</v>
      </c>
      <c r="J26" s="18">
        <f>TableauMarchandise[[#This Row],[Stock initial]]*TableauMarchandise[[#This Row],[Prix unitaire]]</f>
        <v>148</v>
      </c>
      <c r="K26" s="13"/>
    </row>
    <row r="27" spans="2:11" ht="16.5" x14ac:dyDescent="0.3">
      <c r="B27" s="13"/>
      <c r="C27" s="14"/>
      <c r="D27" s="14"/>
      <c r="E27" s="14"/>
      <c r="F27" s="14"/>
      <c r="G27" s="14"/>
      <c r="H27" s="14"/>
      <c r="I27" s="9"/>
      <c r="J27" s="18"/>
      <c r="K27" s="13"/>
    </row>
    <row r="28" spans="2:11" ht="16.5" x14ac:dyDescent="0.3">
      <c r="B28" s="13"/>
      <c r="C28" s="14"/>
      <c r="D28" s="14"/>
      <c r="E28" s="14"/>
      <c r="F28" s="14"/>
      <c r="G28" s="14"/>
      <c r="H28" s="14"/>
      <c r="I28" s="9"/>
      <c r="J28" s="18"/>
      <c r="K28" s="13"/>
    </row>
    <row r="29" spans="2:11" ht="16.5" x14ac:dyDescent="0.3">
      <c r="B29" s="13"/>
      <c r="C29" s="14"/>
      <c r="D29" s="14"/>
      <c r="E29" s="14"/>
      <c r="F29" s="14"/>
      <c r="G29" s="14"/>
      <c r="H29" s="14"/>
      <c r="I29" s="9"/>
      <c r="J29" s="18"/>
      <c r="K29" s="13"/>
    </row>
    <row r="30" spans="2:11" ht="16.5" x14ac:dyDescent="0.3">
      <c r="B30" s="13"/>
      <c r="C30" s="14"/>
      <c r="D30" s="14"/>
      <c r="E30" s="14"/>
      <c r="F30" s="14"/>
      <c r="G30" s="14"/>
      <c r="H30" s="14"/>
      <c r="I30" s="9"/>
      <c r="J30" s="18"/>
      <c r="K30" s="13"/>
    </row>
    <row r="31" spans="2:11" ht="16.5" x14ac:dyDescent="0.3">
      <c r="B31" s="13"/>
      <c r="C31" s="14"/>
      <c r="D31" s="14"/>
      <c r="E31" s="14"/>
      <c r="F31" s="14"/>
      <c r="G31" s="14"/>
      <c r="H31" s="14"/>
      <c r="I31" s="9"/>
      <c r="J31" s="18"/>
      <c r="K31" s="13"/>
    </row>
    <row r="32" spans="2:1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2:1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2:1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2:1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</row>
  </sheetData>
  <mergeCells count="3">
    <mergeCell ref="C3:E3"/>
    <mergeCell ref="C12:D12"/>
    <mergeCell ref="C11:E11"/>
  </mergeCells>
  <phoneticPr fontId="6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D8D2-26B2-4C22-A706-84F74CE93217}">
  <sheetPr codeName="Feuil3"/>
  <dimension ref="A1:R30"/>
  <sheetViews>
    <sheetView topLeftCell="B1" zoomScaleNormal="100" workbookViewId="0">
      <selection activeCell="D7" sqref="D7"/>
    </sheetView>
  </sheetViews>
  <sheetFormatPr baseColWidth="10" defaultRowHeight="15" x14ac:dyDescent="0.25"/>
  <cols>
    <col min="1" max="1" width="14.7109375" style="1" customWidth="1"/>
    <col min="2" max="3" width="12.7109375" style="1" customWidth="1"/>
    <col min="4" max="4" width="18.7109375" style="1" customWidth="1"/>
    <col min="5" max="5" width="17.7109375" style="1" customWidth="1"/>
    <col min="6" max="6" width="21.7109375" style="1" customWidth="1"/>
    <col min="7" max="7" width="19.7109375" style="1" customWidth="1"/>
    <col min="8" max="8" width="16.7109375" style="1" customWidth="1"/>
    <col min="9" max="10" width="16.42578125" style="1" customWidth="1"/>
    <col min="11" max="11" width="16.7109375" style="1" customWidth="1"/>
    <col min="12" max="12" width="10.140625" style="1" customWidth="1"/>
    <col min="13" max="17" width="11.42578125" style="1"/>
    <col min="18" max="18" width="11.5703125" style="1" customWidth="1"/>
    <col min="19" max="16384" width="11.42578125" style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15" customHeight="1" x14ac:dyDescent="0.25">
      <c r="A3" s="3"/>
      <c r="B3" s="2"/>
      <c r="C3" s="42" t="s">
        <v>32</v>
      </c>
      <c r="D3" s="42"/>
      <c r="E3" s="42"/>
      <c r="F3" s="2"/>
      <c r="G3" s="2"/>
      <c r="H3" s="2"/>
      <c r="I3" s="2"/>
      <c r="J3" s="2"/>
      <c r="K3" s="2"/>
      <c r="L3" s="2"/>
      <c r="M3" s="3"/>
      <c r="N3" s="3"/>
      <c r="O3" s="3"/>
      <c r="P3" s="3"/>
    </row>
    <row r="4" spans="1:18" x14ac:dyDescent="0.25">
      <c r="B4" s="2"/>
      <c r="C4" s="2" t="s">
        <v>0</v>
      </c>
      <c r="D4" s="2"/>
      <c r="E4" s="2"/>
      <c r="F4" s="2"/>
      <c r="G4" s="2"/>
      <c r="H4" s="2"/>
      <c r="I4" s="2"/>
      <c r="J4" s="2"/>
      <c r="K4" s="2"/>
      <c r="L4" s="2"/>
    </row>
    <row r="5" spans="1:18" ht="18" x14ac:dyDescent="0.25">
      <c r="B5" s="2"/>
      <c r="C5" s="5"/>
      <c r="D5" s="6"/>
      <c r="E5" s="2"/>
      <c r="F5" s="2"/>
      <c r="G5" s="2"/>
      <c r="H5" s="2"/>
      <c r="I5" s="2"/>
      <c r="J5" s="2"/>
      <c r="K5" s="2"/>
      <c r="L5" s="2"/>
    </row>
    <row r="6" spans="1:18" ht="18" customHeight="1" x14ac:dyDescent="0.25">
      <c r="B6" s="2"/>
      <c r="C6" s="10" t="s">
        <v>33</v>
      </c>
      <c r="D6" s="10" t="s">
        <v>34</v>
      </c>
      <c r="E6" s="10" t="s">
        <v>2</v>
      </c>
      <c r="F6" s="10" t="s">
        <v>3</v>
      </c>
      <c r="G6" s="10" t="s">
        <v>4</v>
      </c>
      <c r="H6" s="10" t="s">
        <v>5</v>
      </c>
      <c r="I6" s="11" t="s">
        <v>35</v>
      </c>
      <c r="J6" s="12" t="s">
        <v>36</v>
      </c>
      <c r="K6" s="15" t="s">
        <v>9</v>
      </c>
      <c r="L6" s="2"/>
    </row>
    <row r="7" spans="1:18" ht="18" customHeight="1" x14ac:dyDescent="0.3">
      <c r="B7" s="2"/>
      <c r="C7" s="16">
        <v>1</v>
      </c>
      <c r="D7" s="19">
        <v>46206</v>
      </c>
      <c r="E7" s="9" t="s">
        <v>17</v>
      </c>
      <c r="F7" s="9" t="s">
        <v>30</v>
      </c>
      <c r="G7" s="9" t="s">
        <v>18</v>
      </c>
      <c r="H7" s="9" t="s">
        <v>5</v>
      </c>
      <c r="I7" s="17">
        <v>0.2</v>
      </c>
      <c r="J7" s="23">
        <v>10</v>
      </c>
      <c r="K7" s="17">
        <v>2</v>
      </c>
      <c r="L7" s="2"/>
    </row>
    <row r="8" spans="1:18" ht="18" customHeight="1" x14ac:dyDescent="0.3">
      <c r="B8" s="2"/>
      <c r="C8" s="16">
        <v>2</v>
      </c>
      <c r="D8" s="19">
        <v>46207</v>
      </c>
      <c r="E8" s="9" t="s">
        <v>19</v>
      </c>
      <c r="F8" s="9" t="s">
        <v>20</v>
      </c>
      <c r="G8" s="9" t="s">
        <v>21</v>
      </c>
      <c r="H8" s="9" t="s">
        <v>5</v>
      </c>
      <c r="I8" s="17">
        <v>900</v>
      </c>
      <c r="J8" s="23">
        <v>2</v>
      </c>
      <c r="K8" s="17">
        <v>1800</v>
      </c>
      <c r="L8" s="2"/>
    </row>
    <row r="9" spans="1:18" ht="18" customHeight="1" x14ac:dyDescent="0.3">
      <c r="B9" s="2"/>
      <c r="C9" s="16">
        <v>3</v>
      </c>
      <c r="D9" s="19">
        <v>46208</v>
      </c>
      <c r="E9" s="9" t="s">
        <v>25</v>
      </c>
      <c r="F9" s="9" t="s">
        <v>26</v>
      </c>
      <c r="G9" s="9" t="s">
        <v>27</v>
      </c>
      <c r="H9" s="9" t="s">
        <v>5</v>
      </c>
      <c r="I9" s="17">
        <v>1200</v>
      </c>
      <c r="J9" s="23">
        <v>1</v>
      </c>
      <c r="K9" s="17">
        <v>1200</v>
      </c>
      <c r="L9" s="2"/>
    </row>
    <row r="10" spans="1:18" ht="18" customHeight="1" x14ac:dyDescent="0.3">
      <c r="B10" s="2"/>
      <c r="C10" s="16">
        <v>4</v>
      </c>
      <c r="D10" s="19">
        <v>46209</v>
      </c>
      <c r="E10" s="9" t="s">
        <v>22</v>
      </c>
      <c r="F10" s="9" t="s">
        <v>23</v>
      </c>
      <c r="G10" s="9" t="s">
        <v>24</v>
      </c>
      <c r="H10" s="9" t="s">
        <v>5</v>
      </c>
      <c r="I10" s="17">
        <v>300</v>
      </c>
      <c r="J10" s="23">
        <v>2</v>
      </c>
      <c r="K10" s="17">
        <v>600</v>
      </c>
      <c r="L10" s="2"/>
    </row>
    <row r="11" spans="1:18" ht="18" customHeight="1" x14ac:dyDescent="0.3">
      <c r="B11" s="2"/>
      <c r="C11" s="16">
        <v>5</v>
      </c>
      <c r="D11" s="19">
        <v>46210</v>
      </c>
      <c r="E11" s="9" t="s">
        <v>28</v>
      </c>
      <c r="F11" s="9" t="s">
        <v>29</v>
      </c>
      <c r="G11" s="9" t="s">
        <v>24</v>
      </c>
      <c r="H11" s="9" t="s">
        <v>5</v>
      </c>
      <c r="I11" s="17">
        <v>150</v>
      </c>
      <c r="J11" s="23">
        <v>3</v>
      </c>
      <c r="K11" s="17">
        <v>450</v>
      </c>
      <c r="L11" s="2"/>
    </row>
    <row r="12" spans="1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</sheetData>
  <mergeCells count="1">
    <mergeCell ref="C3:E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0A03-84D9-40CF-A99C-80A61887DEEC}">
  <dimension ref="A1:J75"/>
  <sheetViews>
    <sheetView topLeftCell="A16" zoomScaleNormal="100" workbookViewId="0">
      <selection activeCell="A71" sqref="A71"/>
    </sheetView>
  </sheetViews>
  <sheetFormatPr baseColWidth="10" defaultRowHeight="15" x14ac:dyDescent="0.25"/>
  <cols>
    <col min="1" max="1" width="21" bestFit="1" customWidth="1"/>
    <col min="2" max="2" width="15.28515625" bestFit="1" customWidth="1"/>
    <col min="3" max="3" width="16.42578125" bestFit="1" customWidth="1"/>
    <col min="4" max="4" width="21" bestFit="1" customWidth="1"/>
    <col min="5" max="5" width="15.28515625" bestFit="1" customWidth="1"/>
    <col min="6" max="6" width="11.5703125" customWidth="1"/>
    <col min="8" max="8" width="11.5703125" customWidth="1"/>
    <col min="10" max="10" width="11.5703125" customWidth="1"/>
  </cols>
  <sheetData>
    <row r="1" spans="1:10" x14ac:dyDescent="0.25">
      <c r="A1" t="s">
        <v>51</v>
      </c>
      <c r="B1" t="s">
        <v>52</v>
      </c>
      <c r="F1" t="s">
        <v>2</v>
      </c>
      <c r="H1" t="s">
        <v>55</v>
      </c>
      <c r="J1" t="s">
        <v>62</v>
      </c>
    </row>
    <row r="2" spans="1:10" x14ac:dyDescent="0.25">
      <c r="A2">
        <v>196</v>
      </c>
      <c r="B2" s="36">
        <v>20706.599999999999</v>
      </c>
      <c r="F2" t="s">
        <v>12</v>
      </c>
      <c r="H2" t="s">
        <v>14</v>
      </c>
      <c r="J2" t="s">
        <v>56</v>
      </c>
    </row>
    <row r="3" spans="1:10" x14ac:dyDescent="0.25">
      <c r="F3" t="s">
        <v>11</v>
      </c>
      <c r="H3" t="s">
        <v>18</v>
      </c>
      <c r="J3" t="s">
        <v>57</v>
      </c>
    </row>
    <row r="4" spans="1:10" x14ac:dyDescent="0.25">
      <c r="A4" t="s">
        <v>53</v>
      </c>
      <c r="B4" t="s">
        <v>54</v>
      </c>
      <c r="F4" t="s">
        <v>17</v>
      </c>
      <c r="H4">
        <v>100</v>
      </c>
      <c r="J4" t="s">
        <v>58</v>
      </c>
    </row>
    <row r="5" spans="1:10" x14ac:dyDescent="0.25">
      <c r="A5">
        <v>18</v>
      </c>
      <c r="B5" s="36">
        <v>4052</v>
      </c>
      <c r="F5" t="s">
        <v>46</v>
      </c>
      <c r="H5" t="s">
        <v>24</v>
      </c>
      <c r="J5" t="s">
        <v>59</v>
      </c>
    </row>
    <row r="6" spans="1:10" x14ac:dyDescent="0.25">
      <c r="F6" t="s">
        <v>47</v>
      </c>
      <c r="H6" t="s">
        <v>27</v>
      </c>
      <c r="J6" t="s">
        <v>60</v>
      </c>
    </row>
    <row r="7" spans="1:10" x14ac:dyDescent="0.25">
      <c r="A7" t="s">
        <v>53</v>
      </c>
      <c r="B7" t="s">
        <v>54</v>
      </c>
      <c r="F7" t="s">
        <v>28</v>
      </c>
      <c r="H7" t="s">
        <v>21</v>
      </c>
      <c r="J7" t="s">
        <v>61</v>
      </c>
    </row>
    <row r="8" spans="1:10" x14ac:dyDescent="0.25">
      <c r="A8">
        <v>14</v>
      </c>
      <c r="B8" s="36">
        <v>5714</v>
      </c>
      <c r="F8" t="s">
        <v>48</v>
      </c>
    </row>
    <row r="9" spans="1:10" x14ac:dyDescent="0.25">
      <c r="F9" t="s">
        <v>49</v>
      </c>
    </row>
    <row r="10" spans="1:10" x14ac:dyDescent="0.25">
      <c r="A10" t="s">
        <v>53</v>
      </c>
      <c r="B10" t="s">
        <v>54</v>
      </c>
      <c r="F10" t="s">
        <v>50</v>
      </c>
    </row>
    <row r="11" spans="1:10" x14ac:dyDescent="0.25">
      <c r="A11">
        <v>18</v>
      </c>
      <c r="B11">
        <v>4052</v>
      </c>
      <c r="F11" t="s">
        <v>22</v>
      </c>
    </row>
    <row r="12" spans="1:10" x14ac:dyDescent="0.25">
      <c r="F12" t="s">
        <v>25</v>
      </c>
    </row>
    <row r="13" spans="1:10" x14ac:dyDescent="0.25">
      <c r="A13" t="s">
        <v>53</v>
      </c>
      <c r="B13" t="s">
        <v>54</v>
      </c>
      <c r="F13" t="s">
        <v>19</v>
      </c>
    </row>
    <row r="14" spans="1:10" x14ac:dyDescent="0.25">
      <c r="A14">
        <v>14</v>
      </c>
      <c r="B14">
        <v>5714</v>
      </c>
    </row>
    <row r="16" spans="1:10" x14ac:dyDescent="0.25">
      <c r="A16" s="37" t="s">
        <v>63</v>
      </c>
      <c r="B16" t="s">
        <v>51</v>
      </c>
    </row>
    <row r="17" spans="1:5" x14ac:dyDescent="0.25">
      <c r="A17" s="38">
        <v>100</v>
      </c>
      <c r="B17">
        <v>69</v>
      </c>
    </row>
    <row r="18" spans="1:5" x14ac:dyDescent="0.25">
      <c r="A18" s="38" t="s">
        <v>18</v>
      </c>
      <c r="B18">
        <v>78</v>
      </c>
    </row>
    <row r="19" spans="1:5" x14ac:dyDescent="0.25">
      <c r="A19" s="38" t="s">
        <v>27</v>
      </c>
      <c r="B19">
        <v>7</v>
      </c>
    </row>
    <row r="20" spans="1:5" x14ac:dyDescent="0.25">
      <c r="A20" s="38" t="s">
        <v>24</v>
      </c>
      <c r="B20">
        <v>36</v>
      </c>
    </row>
    <row r="21" spans="1:5" x14ac:dyDescent="0.25">
      <c r="A21" s="38" t="s">
        <v>14</v>
      </c>
      <c r="B21">
        <v>6</v>
      </c>
    </row>
    <row r="22" spans="1:5" x14ac:dyDescent="0.25">
      <c r="A22" s="38" t="s">
        <v>64</v>
      </c>
      <c r="B22">
        <v>196</v>
      </c>
    </row>
    <row r="24" spans="1:5" x14ac:dyDescent="0.25">
      <c r="A24" s="37" t="s">
        <v>63</v>
      </c>
      <c r="B24" t="s">
        <v>52</v>
      </c>
    </row>
    <row r="25" spans="1:5" x14ac:dyDescent="0.25">
      <c r="A25" s="38" t="s">
        <v>18</v>
      </c>
      <c r="B25" s="36">
        <v>28.6</v>
      </c>
    </row>
    <row r="26" spans="1:5" x14ac:dyDescent="0.25">
      <c r="A26" s="38" t="s">
        <v>27</v>
      </c>
      <c r="B26" s="36">
        <v>8400</v>
      </c>
    </row>
    <row r="27" spans="1:5" x14ac:dyDescent="0.25">
      <c r="A27" s="38" t="s">
        <v>24</v>
      </c>
      <c r="B27" s="36">
        <v>5940</v>
      </c>
    </row>
    <row r="28" spans="1:5" x14ac:dyDescent="0.25">
      <c r="A28" s="38" t="s">
        <v>14</v>
      </c>
      <c r="B28" s="36">
        <v>6200</v>
      </c>
    </row>
    <row r="29" spans="1:5" x14ac:dyDescent="0.25">
      <c r="A29" s="38" t="s">
        <v>64</v>
      </c>
      <c r="B29" s="36">
        <v>20568.599999999999</v>
      </c>
    </row>
    <row r="32" spans="1:5" x14ac:dyDescent="0.25">
      <c r="A32" s="37" t="s">
        <v>63</v>
      </c>
      <c r="B32" t="s">
        <v>54</v>
      </c>
      <c r="D32" s="37" t="s">
        <v>63</v>
      </c>
      <c r="E32" t="s">
        <v>53</v>
      </c>
    </row>
    <row r="33" spans="1:7" x14ac:dyDescent="0.25">
      <c r="A33" s="38" t="s">
        <v>18</v>
      </c>
      <c r="B33" s="39">
        <v>2</v>
      </c>
      <c r="D33" s="38" t="s">
        <v>18</v>
      </c>
      <c r="E33">
        <v>10</v>
      </c>
    </row>
    <row r="34" spans="1:7" x14ac:dyDescent="0.25">
      <c r="A34" s="38" t="s">
        <v>27</v>
      </c>
      <c r="B34" s="39">
        <v>1200</v>
      </c>
      <c r="D34" s="38" t="s">
        <v>27</v>
      </c>
      <c r="E34">
        <v>1</v>
      </c>
    </row>
    <row r="35" spans="1:7" x14ac:dyDescent="0.25">
      <c r="A35" s="38" t="s">
        <v>24</v>
      </c>
      <c r="B35" s="39">
        <v>1050</v>
      </c>
      <c r="D35" s="38" t="s">
        <v>24</v>
      </c>
      <c r="E35">
        <v>5</v>
      </c>
    </row>
    <row r="36" spans="1:7" x14ac:dyDescent="0.25">
      <c r="A36" s="38" t="s">
        <v>21</v>
      </c>
      <c r="B36" s="39">
        <v>1800</v>
      </c>
      <c r="D36" s="38" t="s">
        <v>21</v>
      </c>
      <c r="E36">
        <v>2</v>
      </c>
    </row>
    <row r="37" spans="1:7" x14ac:dyDescent="0.25">
      <c r="A37" s="38" t="s">
        <v>64</v>
      </c>
      <c r="B37" s="39">
        <v>4052</v>
      </c>
      <c r="D37" s="38" t="s">
        <v>64</v>
      </c>
      <c r="E37">
        <v>18</v>
      </c>
    </row>
    <row r="39" spans="1:7" x14ac:dyDescent="0.25">
      <c r="A39" s="37" t="s">
        <v>63</v>
      </c>
      <c r="B39" t="s">
        <v>53</v>
      </c>
      <c r="D39" s="37" t="s">
        <v>63</v>
      </c>
      <c r="E39" t="s">
        <v>54</v>
      </c>
    </row>
    <row r="40" spans="1:7" x14ac:dyDescent="0.25">
      <c r="A40" s="38" t="s">
        <v>18</v>
      </c>
      <c r="B40">
        <v>7</v>
      </c>
      <c r="D40" s="38" t="s">
        <v>18</v>
      </c>
      <c r="E40" s="39">
        <v>14</v>
      </c>
    </row>
    <row r="41" spans="1:7" x14ac:dyDescent="0.25">
      <c r="A41" s="38" t="s">
        <v>27</v>
      </c>
      <c r="B41">
        <v>1</v>
      </c>
      <c r="D41" s="38" t="s">
        <v>27</v>
      </c>
      <c r="E41" s="39">
        <v>1200</v>
      </c>
    </row>
    <row r="42" spans="1:7" x14ac:dyDescent="0.25">
      <c r="A42" s="38" t="s">
        <v>24</v>
      </c>
      <c r="B42">
        <v>2</v>
      </c>
      <c r="D42" s="38" t="s">
        <v>24</v>
      </c>
      <c r="E42" s="39">
        <v>300</v>
      </c>
    </row>
    <row r="43" spans="1:7" x14ac:dyDescent="0.25">
      <c r="A43" s="38" t="s">
        <v>21</v>
      </c>
      <c r="B43">
        <v>2</v>
      </c>
      <c r="D43" s="38" t="s">
        <v>21</v>
      </c>
      <c r="E43" s="39">
        <v>1800</v>
      </c>
    </row>
    <row r="44" spans="1:7" x14ac:dyDescent="0.25">
      <c r="A44" s="38" t="s">
        <v>14</v>
      </c>
      <c r="B44">
        <v>2</v>
      </c>
      <c r="D44" s="38" t="s">
        <v>14</v>
      </c>
      <c r="E44" s="39">
        <v>2400</v>
      </c>
    </row>
    <row r="45" spans="1:7" x14ac:dyDescent="0.25">
      <c r="A45" s="38" t="s">
        <v>64</v>
      </c>
      <c r="B45">
        <v>14</v>
      </c>
      <c r="D45" s="38" t="s">
        <v>64</v>
      </c>
      <c r="E45" s="39">
        <v>5714</v>
      </c>
    </row>
    <row r="48" spans="1:7" x14ac:dyDescent="0.25">
      <c r="A48" s="37" t="s">
        <v>63</v>
      </c>
      <c r="B48" t="s">
        <v>53</v>
      </c>
      <c r="C48" t="s">
        <v>66</v>
      </c>
      <c r="G48" t="s">
        <v>67</v>
      </c>
    </row>
    <row r="49" spans="1:7" x14ac:dyDescent="0.25">
      <c r="A49" s="40">
        <v>46206</v>
      </c>
      <c r="B49">
        <v>10</v>
      </c>
      <c r="C49">
        <v>10</v>
      </c>
      <c r="E49" s="40">
        <v>46206</v>
      </c>
      <c r="F49">
        <f>VLOOKUP(E49,A49:B53,2,FALSE)</f>
        <v>10</v>
      </c>
      <c r="G49">
        <f>IF(F49=MAX(F49:F53),F49,"")</f>
        <v>10</v>
      </c>
    </row>
    <row r="50" spans="1:7" x14ac:dyDescent="0.25">
      <c r="A50" s="40">
        <v>46207</v>
      </c>
      <c r="B50">
        <v>2</v>
      </c>
      <c r="C50">
        <v>2</v>
      </c>
      <c r="E50" s="40">
        <v>46207</v>
      </c>
      <c r="F50">
        <f t="shared" ref="F50:F53" si="0">VLOOKUP(E50,A50:B54,2,FALSE)</f>
        <v>2</v>
      </c>
    </row>
    <row r="51" spans="1:7" x14ac:dyDescent="0.25">
      <c r="A51" s="40">
        <v>46208</v>
      </c>
      <c r="B51">
        <v>1</v>
      </c>
      <c r="C51">
        <v>1</v>
      </c>
      <c r="E51" s="40">
        <v>46208</v>
      </c>
      <c r="F51">
        <f t="shared" si="0"/>
        <v>1</v>
      </c>
    </row>
    <row r="52" spans="1:7" x14ac:dyDescent="0.25">
      <c r="A52" s="40">
        <v>46209</v>
      </c>
      <c r="B52">
        <v>2</v>
      </c>
      <c r="C52">
        <v>2</v>
      </c>
      <c r="E52" s="40">
        <v>46209</v>
      </c>
      <c r="F52">
        <f t="shared" si="0"/>
        <v>2</v>
      </c>
    </row>
    <row r="53" spans="1:7" x14ac:dyDescent="0.25">
      <c r="A53" s="40">
        <v>46210</v>
      </c>
      <c r="B53">
        <v>3</v>
      </c>
      <c r="C53">
        <v>3</v>
      </c>
      <c r="E53" s="40">
        <v>46210</v>
      </c>
      <c r="F53">
        <f t="shared" si="0"/>
        <v>3</v>
      </c>
    </row>
    <row r="54" spans="1:7" x14ac:dyDescent="0.25">
      <c r="A54" s="38" t="s">
        <v>64</v>
      </c>
      <c r="B54">
        <v>18</v>
      </c>
      <c r="C54">
        <v>18</v>
      </c>
    </row>
    <row r="60" spans="1:7" x14ac:dyDescent="0.25">
      <c r="G60" t="s">
        <v>67</v>
      </c>
    </row>
    <row r="61" spans="1:7" x14ac:dyDescent="0.25">
      <c r="A61" s="37" t="s">
        <v>63</v>
      </c>
      <c r="B61" t="s">
        <v>53</v>
      </c>
      <c r="C61" t="s">
        <v>66</v>
      </c>
      <c r="E61" s="40">
        <v>46213</v>
      </c>
      <c r="F61">
        <f>VLOOKUP(E61,A62:B65,2,FALSE)</f>
        <v>3</v>
      </c>
      <c r="G61" t="str">
        <f>IF(F61=MAX(F$61:F$64),F61,"")</f>
        <v/>
      </c>
    </row>
    <row r="62" spans="1:7" x14ac:dyDescent="0.25">
      <c r="A62" s="40">
        <v>46213</v>
      </c>
      <c r="B62">
        <v>3</v>
      </c>
      <c r="C62">
        <v>3</v>
      </c>
      <c r="E62" s="40">
        <v>46214</v>
      </c>
      <c r="F62">
        <f t="shared" ref="F62:F64" si="1">VLOOKUP(E62,A63:B66,2,FALSE)</f>
        <v>2</v>
      </c>
      <c r="G62" t="str">
        <f t="shared" ref="G62:G64" si="2">IF(F62=MAX(F$61:F$64),F62,"")</f>
        <v/>
      </c>
    </row>
    <row r="63" spans="1:7" x14ac:dyDescent="0.25">
      <c r="A63" s="40">
        <v>46214</v>
      </c>
      <c r="B63">
        <v>2</v>
      </c>
      <c r="C63">
        <v>2</v>
      </c>
      <c r="E63" s="40">
        <v>46215</v>
      </c>
      <c r="F63">
        <f t="shared" si="1"/>
        <v>7</v>
      </c>
      <c r="G63">
        <f t="shared" si="2"/>
        <v>7</v>
      </c>
    </row>
    <row r="64" spans="1:7" x14ac:dyDescent="0.25">
      <c r="A64" s="40">
        <v>46215</v>
      </c>
      <c r="B64">
        <v>7</v>
      </c>
      <c r="C64">
        <v>7</v>
      </c>
      <c r="E64" s="40">
        <v>46216</v>
      </c>
      <c r="F64">
        <f t="shared" si="1"/>
        <v>2</v>
      </c>
      <c r="G64" t="str">
        <f t="shared" si="2"/>
        <v/>
      </c>
    </row>
    <row r="65" spans="1:3" x14ac:dyDescent="0.25">
      <c r="A65" s="40">
        <v>46216</v>
      </c>
      <c r="B65">
        <v>2</v>
      </c>
      <c r="C65">
        <v>2</v>
      </c>
    </row>
    <row r="66" spans="1:3" x14ac:dyDescent="0.25">
      <c r="A66" s="38" t="s">
        <v>64</v>
      </c>
      <c r="B66">
        <v>14</v>
      </c>
      <c r="C66">
        <v>14</v>
      </c>
    </row>
    <row r="69" spans="1:3" x14ac:dyDescent="0.25">
      <c r="A69" s="37" t="s">
        <v>63</v>
      </c>
      <c r="B69" t="s">
        <v>54</v>
      </c>
      <c r="C69" t="s">
        <v>68</v>
      </c>
    </row>
    <row r="70" spans="1:3" x14ac:dyDescent="0.25">
      <c r="A70" s="40">
        <v>46206</v>
      </c>
      <c r="B70" s="41">
        <v>2</v>
      </c>
      <c r="C70" s="41">
        <v>2</v>
      </c>
    </row>
    <row r="71" spans="1:3" x14ac:dyDescent="0.25">
      <c r="A71" s="40">
        <v>46207</v>
      </c>
      <c r="B71" s="41">
        <v>1800</v>
      </c>
      <c r="C71" s="41">
        <v>1800</v>
      </c>
    </row>
    <row r="72" spans="1:3" x14ac:dyDescent="0.25">
      <c r="A72" s="40">
        <v>46208</v>
      </c>
      <c r="B72" s="41">
        <v>1200</v>
      </c>
      <c r="C72" s="41">
        <v>1200</v>
      </c>
    </row>
    <row r="73" spans="1:3" x14ac:dyDescent="0.25">
      <c r="A73" s="40">
        <v>46209</v>
      </c>
      <c r="B73" s="41">
        <v>600</v>
      </c>
      <c r="C73" s="41">
        <v>600</v>
      </c>
    </row>
    <row r="74" spans="1:3" x14ac:dyDescent="0.25">
      <c r="A74" s="40">
        <v>46210</v>
      </c>
      <c r="B74" s="41">
        <v>450</v>
      </c>
      <c r="C74" s="41">
        <v>450</v>
      </c>
    </row>
    <row r="75" spans="1:3" x14ac:dyDescent="0.25">
      <c r="A75" s="38" t="s">
        <v>64</v>
      </c>
      <c r="B75" s="41">
        <v>4052</v>
      </c>
      <c r="C75" s="41">
        <v>4052</v>
      </c>
    </row>
  </sheetData>
  <phoneticPr fontId="6" type="noConversion"/>
  <pageMargins left="0.7" right="0.7" top="0.75" bottom="0.75" header="0.3" footer="0.3"/>
  <drawing r:id="rId15"/>
  <tableParts count="3">
    <tablePart r:id="rId16"/>
    <tablePart r:id="rId17"/>
    <tablePart r:id="rId18"/>
  </tableParts>
  <extLst>
    <ext xmlns:x14="http://schemas.microsoft.com/office/spreadsheetml/2009/9/main" uri="{A8765BA9-456A-4dab-B4F3-ACF838C121DE}">
      <x14:slicerList>
        <x14:slicer r:id="rId1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4A571-C3E0-4D5F-950A-0D6B7F218E5F}">
  <dimension ref="C1:AC51"/>
  <sheetViews>
    <sheetView showGridLines="0" tabSelected="1" zoomScale="80" zoomScaleNormal="80" workbookViewId="0">
      <selection activeCell="J49" sqref="J49"/>
    </sheetView>
  </sheetViews>
  <sheetFormatPr baseColWidth="10" defaultRowHeight="15" x14ac:dyDescent="0.25"/>
  <cols>
    <col min="2" max="2" width="9.28515625" customWidth="1"/>
  </cols>
  <sheetData>
    <row r="1" spans="3:29" x14ac:dyDescent="0.25"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</row>
    <row r="2" spans="3:29" x14ac:dyDescent="0.25"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3:29" x14ac:dyDescent="0.25"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3:29" x14ac:dyDescent="0.25"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3:29" x14ac:dyDescent="0.25"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</row>
    <row r="6" spans="3:29" x14ac:dyDescent="0.25"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</row>
    <row r="7" spans="3:29" x14ac:dyDescent="0.25"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</row>
    <row r="8" spans="3:29" x14ac:dyDescent="0.25"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</row>
    <row r="9" spans="3:29" x14ac:dyDescent="0.25"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</row>
    <row r="10" spans="3:29" x14ac:dyDescent="0.25"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</row>
    <row r="11" spans="3:29" x14ac:dyDescent="0.25"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</row>
    <row r="12" spans="3:29" x14ac:dyDescent="0.25"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</row>
    <row r="13" spans="3:29" x14ac:dyDescent="0.25"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</row>
    <row r="14" spans="3:29" x14ac:dyDescent="0.25"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</row>
    <row r="15" spans="3:29" x14ac:dyDescent="0.25"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</row>
    <row r="16" spans="3:29" x14ac:dyDescent="0.25"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</row>
    <row r="17" spans="3:29" x14ac:dyDescent="0.25"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</row>
    <row r="18" spans="3:29" x14ac:dyDescent="0.25"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</row>
    <row r="19" spans="3:29" x14ac:dyDescent="0.25"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</row>
    <row r="20" spans="3:29" x14ac:dyDescent="0.25"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</row>
    <row r="21" spans="3:29" x14ac:dyDescent="0.25"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</row>
    <row r="22" spans="3:29" x14ac:dyDescent="0.25"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</row>
    <row r="23" spans="3:29" x14ac:dyDescent="0.25"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</row>
    <row r="24" spans="3:29" x14ac:dyDescent="0.25"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</row>
    <row r="25" spans="3:29" x14ac:dyDescent="0.25"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3:29" x14ac:dyDescent="0.25"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</row>
    <row r="27" spans="3:29" x14ac:dyDescent="0.25"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</row>
    <row r="28" spans="3:29" x14ac:dyDescent="0.25"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</row>
    <row r="29" spans="3:29" x14ac:dyDescent="0.25"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</row>
    <row r="30" spans="3:29" x14ac:dyDescent="0.25"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</row>
    <row r="31" spans="3:29" x14ac:dyDescent="0.25"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</row>
    <row r="32" spans="3:29" x14ac:dyDescent="0.25"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</row>
    <row r="33" spans="3:29" x14ac:dyDescent="0.25"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</row>
    <row r="34" spans="3:29" x14ac:dyDescent="0.25"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</row>
    <row r="35" spans="3:29" x14ac:dyDescent="0.25"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</row>
    <row r="36" spans="3:29" x14ac:dyDescent="0.25"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</row>
    <row r="37" spans="3:29" x14ac:dyDescent="0.25"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</row>
    <row r="38" spans="3:29" x14ac:dyDescent="0.25"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</row>
    <row r="39" spans="3:29" x14ac:dyDescent="0.25"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</row>
    <row r="40" spans="3:29" x14ac:dyDescent="0.25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</row>
    <row r="41" spans="3:29" x14ac:dyDescent="0.25"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</row>
    <row r="42" spans="3:29" x14ac:dyDescent="0.25"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</row>
    <row r="43" spans="3:29" x14ac:dyDescent="0.25"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</row>
    <row r="44" spans="3:29" x14ac:dyDescent="0.25"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</row>
    <row r="45" spans="3:29" x14ac:dyDescent="0.25"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</row>
    <row r="46" spans="3:29" x14ac:dyDescent="0.25"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</row>
    <row r="47" spans="3:29" x14ac:dyDescent="0.25"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</row>
    <row r="48" spans="3:29" x14ac:dyDescent="0.25"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</row>
    <row r="49" spans="3:29" x14ac:dyDescent="0.25"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</row>
    <row r="50" spans="3:29" x14ac:dyDescent="0.25"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</row>
    <row r="51" spans="3:29" x14ac:dyDescent="0.25"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3BABA-0C01-43DE-B50B-CC89E9A73F46}">
  <sheetPr codeName="Feuil4"/>
  <dimension ref="A1:R32"/>
  <sheetViews>
    <sheetView workbookViewId="0">
      <selection activeCell="D7" sqref="D7"/>
    </sheetView>
  </sheetViews>
  <sheetFormatPr baseColWidth="10" defaultRowHeight="15" x14ac:dyDescent="0.25"/>
  <cols>
    <col min="1" max="1" width="14.7109375" style="1" customWidth="1"/>
    <col min="2" max="3" width="12.7109375" style="1" customWidth="1"/>
    <col min="4" max="4" width="18.7109375" style="1" customWidth="1"/>
    <col min="5" max="5" width="17.7109375" style="1" customWidth="1"/>
    <col min="6" max="6" width="21.7109375" style="1" customWidth="1"/>
    <col min="7" max="7" width="19.7109375" style="1" customWidth="1"/>
    <col min="8" max="8" width="16.7109375" style="1" customWidth="1"/>
    <col min="9" max="10" width="16.42578125" style="1" customWidth="1"/>
    <col min="11" max="11" width="16.7109375" style="1" customWidth="1"/>
    <col min="12" max="12" width="10.140625" style="1" customWidth="1"/>
    <col min="13" max="17" width="11.42578125" style="1"/>
    <col min="18" max="18" width="11.5703125" style="1" customWidth="1"/>
    <col min="19" max="16384" width="11.42578125" style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15" customHeight="1" x14ac:dyDescent="0.25">
      <c r="A3" s="3"/>
      <c r="B3" s="2"/>
      <c r="C3" s="42" t="s">
        <v>65</v>
      </c>
      <c r="D3" s="42"/>
      <c r="E3" s="42"/>
      <c r="F3" s="2"/>
      <c r="G3" s="2"/>
      <c r="H3" s="2"/>
      <c r="I3" s="2"/>
      <c r="J3" s="2"/>
      <c r="K3" s="2"/>
      <c r="L3" s="2"/>
      <c r="M3" s="3"/>
      <c r="N3" s="3"/>
      <c r="O3" s="3"/>
      <c r="P3" s="3"/>
    </row>
    <row r="4" spans="1:18" x14ac:dyDescent="0.25">
      <c r="B4" s="2"/>
      <c r="C4" s="2" t="s">
        <v>0</v>
      </c>
      <c r="D4" s="2"/>
      <c r="E4" s="2"/>
      <c r="F4" s="2"/>
      <c r="G4" s="2"/>
      <c r="H4" s="2"/>
      <c r="I4" s="2"/>
      <c r="J4" s="2"/>
      <c r="K4" s="2"/>
      <c r="L4" s="2"/>
    </row>
    <row r="5" spans="1:18" ht="18" x14ac:dyDescent="0.25">
      <c r="B5" s="2"/>
      <c r="C5" s="5"/>
      <c r="D5" s="6"/>
      <c r="E5" s="2"/>
      <c r="F5" s="2"/>
      <c r="G5" s="2"/>
      <c r="H5" s="2"/>
      <c r="I5" s="2"/>
      <c r="J5" s="2"/>
      <c r="K5" s="2"/>
      <c r="L5" s="2"/>
    </row>
    <row r="6" spans="1:18" ht="18" customHeight="1" x14ac:dyDescent="0.25">
      <c r="B6" s="2"/>
      <c r="C6" s="10" t="s">
        <v>33</v>
      </c>
      <c r="D6" s="10" t="s">
        <v>34</v>
      </c>
      <c r="E6" s="10" t="s">
        <v>2</v>
      </c>
      <c r="F6" s="10" t="s">
        <v>3</v>
      </c>
      <c r="G6" s="10" t="s">
        <v>4</v>
      </c>
      <c r="H6" s="10" t="s">
        <v>5</v>
      </c>
      <c r="I6" s="11" t="s">
        <v>35</v>
      </c>
      <c r="J6" s="11" t="s">
        <v>36</v>
      </c>
      <c r="K6" s="10" t="s">
        <v>9</v>
      </c>
      <c r="L6" s="2"/>
    </row>
    <row r="7" spans="1:18" ht="16.5" x14ac:dyDescent="0.25">
      <c r="B7" s="2"/>
      <c r="C7" s="20">
        <v>1</v>
      </c>
      <c r="D7" s="21">
        <v>46213</v>
      </c>
      <c r="E7" s="20" t="s">
        <v>19</v>
      </c>
      <c r="F7" s="20" t="s">
        <v>20</v>
      </c>
      <c r="G7" s="20" t="s">
        <v>21</v>
      </c>
      <c r="H7" s="20" t="s">
        <v>15</v>
      </c>
      <c r="I7" s="22">
        <v>900</v>
      </c>
      <c r="J7" s="23">
        <v>2</v>
      </c>
      <c r="K7" s="22">
        <f>TableauSorties[[#This Row],[Quantité]]*TableauSorties[[#This Row],[Coût d''achat]]</f>
        <v>1800</v>
      </c>
      <c r="L7" s="2"/>
    </row>
    <row r="8" spans="1:18" ht="16.5" x14ac:dyDescent="0.25">
      <c r="B8" s="2"/>
      <c r="C8" s="20">
        <v>2</v>
      </c>
      <c r="D8" s="21">
        <v>46213</v>
      </c>
      <c r="E8" s="20" t="s">
        <v>25</v>
      </c>
      <c r="F8" s="20" t="s">
        <v>26</v>
      </c>
      <c r="G8" s="20" t="s">
        <v>27</v>
      </c>
      <c r="H8" s="20" t="s">
        <v>15</v>
      </c>
      <c r="I8" s="22">
        <v>1200</v>
      </c>
      <c r="J8" s="23">
        <v>1</v>
      </c>
      <c r="K8" s="22">
        <f>TableauSorties[[#This Row],[Quantité]]*TableauSorties[[#This Row],[Coût d''achat]]</f>
        <v>1200</v>
      </c>
      <c r="L8" s="2"/>
    </row>
    <row r="9" spans="1:18" ht="16.5" x14ac:dyDescent="0.25">
      <c r="B9" s="2"/>
      <c r="C9" s="20">
        <v>3</v>
      </c>
      <c r="D9" s="21">
        <v>46214</v>
      </c>
      <c r="E9" s="20" t="s">
        <v>28</v>
      </c>
      <c r="F9" s="20" t="s">
        <v>29</v>
      </c>
      <c r="G9" s="20" t="s">
        <v>24</v>
      </c>
      <c r="H9" s="20" t="s">
        <v>15</v>
      </c>
      <c r="I9" s="22">
        <v>150</v>
      </c>
      <c r="J9" s="23">
        <v>2</v>
      </c>
      <c r="K9" s="22">
        <f>TableauSorties[[#This Row],[Quantité]]*TableauSorties[[#This Row],[Coût d''achat]]</f>
        <v>300</v>
      </c>
      <c r="L9" s="2"/>
    </row>
    <row r="10" spans="1:18" ht="16.5" x14ac:dyDescent="0.25">
      <c r="B10" s="2"/>
      <c r="C10" s="20">
        <v>4</v>
      </c>
      <c r="D10" s="21">
        <v>46215</v>
      </c>
      <c r="E10" s="20" t="s">
        <v>17</v>
      </c>
      <c r="F10" s="20" t="s">
        <v>30</v>
      </c>
      <c r="G10" s="20" t="s">
        <v>18</v>
      </c>
      <c r="H10" s="20" t="s">
        <v>31</v>
      </c>
      <c r="I10" s="22">
        <v>2</v>
      </c>
      <c r="J10" s="23">
        <v>2</v>
      </c>
      <c r="K10" s="22">
        <f>TableauSorties[[#This Row],[Quantité]]*TableauSorties[[#This Row],[Coût d''achat]]</f>
        <v>4</v>
      </c>
      <c r="L10" s="2"/>
    </row>
    <row r="11" spans="1:18" ht="16.5" x14ac:dyDescent="0.25">
      <c r="B11" s="2"/>
      <c r="C11" s="20">
        <v>5</v>
      </c>
      <c r="D11" s="21">
        <v>46215</v>
      </c>
      <c r="E11" s="20" t="s">
        <v>46</v>
      </c>
      <c r="F11" s="20" t="s">
        <v>30</v>
      </c>
      <c r="G11" s="20" t="s">
        <v>18</v>
      </c>
      <c r="H11" s="20" t="s">
        <v>31</v>
      </c>
      <c r="I11" s="22">
        <v>2</v>
      </c>
      <c r="J11" s="23">
        <v>5</v>
      </c>
      <c r="K11" s="22">
        <f>TableauSorties[[#This Row],[Quantité]]*TableauSorties[[#This Row],[Coût d''achat]]</f>
        <v>10</v>
      </c>
      <c r="L11" s="2"/>
    </row>
    <row r="12" spans="1:18" ht="16.5" x14ac:dyDescent="0.25">
      <c r="B12" s="2"/>
      <c r="C12" s="20">
        <v>6</v>
      </c>
      <c r="D12" s="21">
        <v>46216</v>
      </c>
      <c r="E12" s="20" t="s">
        <v>11</v>
      </c>
      <c r="F12" s="20" t="s">
        <v>13</v>
      </c>
      <c r="G12" s="20" t="s">
        <v>14</v>
      </c>
      <c r="H12" s="20" t="s">
        <v>15</v>
      </c>
      <c r="I12" s="22">
        <v>1200</v>
      </c>
      <c r="J12" s="23">
        <v>2</v>
      </c>
      <c r="K12" s="22">
        <f>TableauSorties[[#This Row],[Quantité]]*TableauSorties[[#This Row],[Coût d''achat]]</f>
        <v>2400</v>
      </c>
      <c r="L12" s="2"/>
    </row>
    <row r="13" spans="1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8" s="2" customFormat="1" x14ac:dyDescent="0.25">
      <c r="A15" s="1"/>
    </row>
    <row r="16" spans="1:18" s="2" customFormat="1" x14ac:dyDescent="0.25">
      <c r="A16" s="1"/>
    </row>
    <row r="17" spans="1:11" s="2" customFormat="1" x14ac:dyDescent="0.25">
      <c r="A17" s="1"/>
    </row>
    <row r="18" spans="1:11" s="2" customFormat="1" x14ac:dyDescent="0.25">
      <c r="A18" s="1"/>
    </row>
    <row r="19" spans="1:11" s="2" customFormat="1" x14ac:dyDescent="0.25">
      <c r="A19" s="1"/>
    </row>
    <row r="20" spans="1:11" s="2" customFormat="1" x14ac:dyDescent="0.25">
      <c r="A20" s="1"/>
    </row>
    <row r="21" spans="1:11" s="2" customFormat="1" x14ac:dyDescent="0.25">
      <c r="A21" s="1"/>
    </row>
    <row r="22" spans="1:11" s="2" customFormat="1" x14ac:dyDescent="0.25">
      <c r="A22" s="1"/>
    </row>
    <row r="23" spans="1:11" s="2" customFormat="1" x14ac:dyDescent="0.25">
      <c r="A23" s="1"/>
    </row>
    <row r="24" spans="1:11" s="2" customFormat="1" x14ac:dyDescent="0.25">
      <c r="A24" s="1"/>
    </row>
    <row r="25" spans="1:11" s="2" customFormat="1" x14ac:dyDescent="0.25">
      <c r="A25" s="1"/>
    </row>
    <row r="26" spans="1:11" s="2" customFormat="1" x14ac:dyDescent="0.25">
      <c r="A26" s="1"/>
    </row>
    <row r="27" spans="1:11" s="2" customFormat="1" x14ac:dyDescent="0.25">
      <c r="A27" s="1"/>
    </row>
    <row r="28" spans="1:11" s="2" customFormat="1" x14ac:dyDescent="0.25">
      <c r="A28" s="1"/>
    </row>
    <row r="29" spans="1:11" s="2" customFormat="1" x14ac:dyDescent="0.25">
      <c r="A29" s="1"/>
    </row>
    <row r="30" spans="1:11" s="2" customFormat="1" x14ac:dyDescent="0.25">
      <c r="A30" s="1"/>
    </row>
    <row r="31" spans="1:11" x14ac:dyDescent="0.25"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25">
      <c r="C32" s="2"/>
      <c r="D32" s="2"/>
      <c r="E32" s="2"/>
      <c r="F32" s="2"/>
      <c r="G32" s="2"/>
      <c r="H32" s="2"/>
      <c r="I32" s="2"/>
      <c r="J32" s="2"/>
      <c r="K32" s="2"/>
    </row>
  </sheetData>
  <mergeCells count="1">
    <mergeCell ref="C3:E3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D04-A255-4D20-A164-3EBB9E5D0541}">
  <sheetPr codeName="Feuil5"/>
  <dimension ref="A1:U41"/>
  <sheetViews>
    <sheetView workbookViewId="0">
      <selection activeCell="D10" sqref="D10"/>
    </sheetView>
  </sheetViews>
  <sheetFormatPr baseColWidth="10" defaultRowHeight="15" x14ac:dyDescent="0.25"/>
  <cols>
    <col min="1" max="1" width="14.7109375" style="1" customWidth="1"/>
    <col min="2" max="3" width="12.7109375" style="1" customWidth="1"/>
    <col min="4" max="5" width="18.7109375" style="1" customWidth="1"/>
    <col min="6" max="6" width="21.5703125" style="1" customWidth="1"/>
    <col min="7" max="7" width="19.7109375" style="1" customWidth="1"/>
    <col min="8" max="8" width="16.7109375" style="1" customWidth="1"/>
    <col min="9" max="10" width="16.42578125" style="1" customWidth="1"/>
    <col min="11" max="11" width="16.42578125" style="28" customWidth="1"/>
    <col min="12" max="13" width="16.42578125" style="1" customWidth="1"/>
    <col min="14" max="14" width="16.7109375" style="1" customWidth="1"/>
    <col min="15" max="15" width="10.140625" style="1" customWidth="1"/>
    <col min="16" max="20" width="11.42578125" style="1"/>
    <col min="21" max="21" width="11.5703125" style="1" customWidth="1"/>
    <col min="22" max="16384" width="11.42578125" style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25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25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ht="15" customHeight="1" x14ac:dyDescent="0.25">
      <c r="A3" s="3"/>
      <c r="B3" s="2"/>
      <c r="C3" s="42" t="s">
        <v>32</v>
      </c>
      <c r="D3" s="42"/>
      <c r="E3" s="42"/>
      <c r="F3" s="2"/>
      <c r="G3" s="2"/>
      <c r="H3" s="2"/>
      <c r="I3" s="2"/>
      <c r="J3" s="2"/>
      <c r="K3" s="26"/>
      <c r="L3" s="2"/>
      <c r="M3" s="2"/>
      <c r="N3" s="2"/>
      <c r="O3" s="2"/>
      <c r="P3" s="3"/>
      <c r="Q3" s="3"/>
      <c r="R3" s="3"/>
      <c r="S3" s="3"/>
    </row>
    <row r="4" spans="1:21" x14ac:dyDescent="0.25">
      <c r="B4" s="2"/>
      <c r="C4" s="2" t="s">
        <v>0</v>
      </c>
      <c r="D4" s="2"/>
      <c r="E4" s="2"/>
      <c r="F4" s="2"/>
      <c r="G4" s="2"/>
      <c r="H4" s="2"/>
      <c r="I4" s="2"/>
      <c r="J4" s="2"/>
      <c r="K4" s="26"/>
      <c r="L4" s="2"/>
      <c r="M4" s="2"/>
      <c r="N4" s="2"/>
      <c r="O4" s="2"/>
    </row>
    <row r="5" spans="1:21" ht="18" x14ac:dyDescent="0.25">
      <c r="B5" s="2"/>
      <c r="C5" s="5"/>
      <c r="D5" s="6"/>
      <c r="E5" s="2"/>
      <c r="F5" s="2"/>
      <c r="G5" s="2"/>
      <c r="H5" s="2"/>
      <c r="I5" s="2"/>
      <c r="J5" s="2"/>
      <c r="K5" s="26"/>
      <c r="L5" s="2"/>
      <c r="M5" s="2"/>
      <c r="N5" s="2"/>
      <c r="O5" s="2"/>
    </row>
    <row r="6" spans="1:21" ht="18" customHeight="1" x14ac:dyDescent="0.25">
      <c r="B6" s="2"/>
      <c r="C6" s="10" t="s">
        <v>2</v>
      </c>
      <c r="D6" s="10" t="s">
        <v>3</v>
      </c>
      <c r="E6" s="10" t="s">
        <v>4</v>
      </c>
      <c r="F6" s="10" t="s">
        <v>5</v>
      </c>
      <c r="G6" s="10" t="s">
        <v>6</v>
      </c>
      <c r="H6" s="10" t="s">
        <v>7</v>
      </c>
      <c r="I6" s="11" t="s">
        <v>40</v>
      </c>
      <c r="J6" s="11" t="s">
        <v>41</v>
      </c>
      <c r="K6" s="27" t="s">
        <v>42</v>
      </c>
      <c r="L6" s="11" t="s">
        <v>43</v>
      </c>
      <c r="M6" s="11" t="s">
        <v>44</v>
      </c>
      <c r="N6" s="15" t="s">
        <v>45</v>
      </c>
      <c r="O6" s="2"/>
    </row>
    <row r="7" spans="1:21" ht="18" customHeight="1" x14ac:dyDescent="0.25">
      <c r="B7" s="2"/>
      <c r="C7" s="20" t="s">
        <v>12</v>
      </c>
      <c r="D7" s="24" t="s">
        <v>16</v>
      </c>
      <c r="E7" s="20" t="str">
        <f>VLOOKUP(TableauInventaire[[#This Row],[Référence]],TableauMarchandise[],3,FALSE)</f>
        <v>SmartPhone</v>
      </c>
      <c r="F7" s="20" t="str">
        <f>VLOOKUP(TableauInventaire[[#This Row],[Référence]],TableauMarchandise[],4,FALSE)</f>
        <v>1 Unité</v>
      </c>
      <c r="G7" s="20">
        <f>IFERROR(VLOOKUP(TableauInventaire[[#This Row],[Référence]],TableauMarchandise[],5,FALSE),"")</f>
        <v>10</v>
      </c>
      <c r="H7" s="20">
        <f>VLOOKUP(TableauInventaire[[#This Row],[Référence]],TableauMarchandise[],6,FALSE)</f>
        <v>5</v>
      </c>
      <c r="I7" s="23">
        <f>SUMIF(TableauEntrée[Référence],TableauInventaire[Référence],TableauEntrée[Quantité])</f>
        <v>0</v>
      </c>
      <c r="J7" s="23">
        <f>SUMIF(TableauSorties[Référence],TableauInventaire[Référence],TableauSorties[Quantité])</f>
        <v>0</v>
      </c>
      <c r="K7" s="23">
        <f>TableauInventaire[[#This Row],[Stock initial]]+TableauInventaire[[#This Row],[Entrées]]-J7</f>
        <v>5</v>
      </c>
      <c r="L7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1000</v>
      </c>
      <c r="M7" s="22">
        <f>TableauInventaire[[#This Row],[CUMP]]*TableauInventaire[[#This Row],[Stock final]]</f>
        <v>5000</v>
      </c>
      <c r="N7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7" s="2"/>
    </row>
    <row r="8" spans="1:21" ht="18" customHeight="1" x14ac:dyDescent="0.25">
      <c r="B8" s="2"/>
      <c r="C8" s="20" t="s">
        <v>11</v>
      </c>
      <c r="D8" s="24" t="str">
        <f>VLOOKUP(TableauInventaire[[#This Row],[Référence]],TableauMarchandise[],2,FALSE)</f>
        <v>IPHONE 13 PRO</v>
      </c>
      <c r="E8" s="20" t="str">
        <f>VLOOKUP(TableauInventaire[[#This Row],[Référence]],TableauMarchandise[],3,FALSE)</f>
        <v>SmartPhone</v>
      </c>
      <c r="F8" s="20" t="str">
        <f>VLOOKUP(TableauInventaire[[#This Row],[Référence]],TableauMarchandise[],4,FALSE)</f>
        <v>1 Unité</v>
      </c>
      <c r="G8" s="20">
        <f>IFERROR(VLOOKUP(TableauInventaire[[#This Row],[Référence]],TableauMarchandise[],5,FALSE),"")</f>
        <v>10</v>
      </c>
      <c r="H8" s="20">
        <f>VLOOKUP(TableauInventaire[[#This Row],[Référence]],TableauMarchandise[],6,FALSE)</f>
        <v>3</v>
      </c>
      <c r="I8" s="23">
        <f>SUMIF(TableauEntrée[Référence],TableauInventaire[Référence],TableauEntrée[Quantité])</f>
        <v>0</v>
      </c>
      <c r="J8" s="23">
        <f>SUMIF(TableauSorties[Référence],TableauInventaire[Référence],TableauSorties[Quantité])</f>
        <v>2</v>
      </c>
      <c r="K8" s="23">
        <f>TableauInventaire[[#This Row],[Stock initial]]+TableauInventaire[[#This Row],[Entrées]]-J8</f>
        <v>1</v>
      </c>
      <c r="L8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1200</v>
      </c>
      <c r="M8" s="22">
        <f>TableauInventaire[[#This Row],[CUMP]]*TableauInventaire[[#This Row],[Stock final]]</f>
        <v>1200</v>
      </c>
      <c r="N8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8" s="2"/>
    </row>
    <row r="9" spans="1:21" ht="18" customHeight="1" x14ac:dyDescent="0.25">
      <c r="B9" s="2"/>
      <c r="C9" s="20" t="s">
        <v>17</v>
      </c>
      <c r="D9" s="24" t="str">
        <f>VLOOKUP(TableauInventaire[[#This Row],[Référence]],TableauMarchandise[],2,FALSE)</f>
        <v>OREO</v>
      </c>
      <c r="E9" s="20" t="str">
        <f>VLOOKUP(TableauInventaire[[#This Row],[Référence]],TableauMarchandise[],3,FALSE)</f>
        <v>Biscuits</v>
      </c>
      <c r="F9" s="20" t="str">
        <f>VLOOKUP(TableauInventaire[[#This Row],[Référence]],TableauMarchandise[],4,FALSE)</f>
        <v>1 Unité</v>
      </c>
      <c r="G9" s="20">
        <f>IFERROR(VLOOKUP(TableauInventaire[[#This Row],[Référence]],TableauMarchandise[],5,FALSE),"")</f>
        <v>100</v>
      </c>
      <c r="H9" s="20">
        <f>VLOOKUP(TableauInventaire[[#This Row],[Référence]],TableauMarchandise[],6,FALSE)</f>
        <v>60</v>
      </c>
      <c r="I9" s="23">
        <f>SUMIF(TableauEntrée[Référence],TableauInventaire[Référence],TableauEntrée[Quantité])</f>
        <v>10</v>
      </c>
      <c r="J9" s="23">
        <f>SUMIF(TableauSorties[Référence],TableauInventaire[Référence],TableauSorties[Quantité])</f>
        <v>2</v>
      </c>
      <c r="K9" s="23">
        <f>TableauInventaire[[#This Row],[Stock initial]]+TableauInventaire[[#This Row],[Entrées]]-J9</f>
        <v>68</v>
      </c>
      <c r="L9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0.2</v>
      </c>
      <c r="M9" s="22">
        <f>TableauInventaire[[#This Row],[CUMP]]*TableauInventaire[[#This Row],[Stock final]]</f>
        <v>13.600000000000001</v>
      </c>
      <c r="N9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9" s="2"/>
    </row>
    <row r="10" spans="1:21" ht="18" customHeight="1" x14ac:dyDescent="0.25">
      <c r="B10" s="2"/>
      <c r="C10" s="20" t="s">
        <v>46</v>
      </c>
      <c r="D10" s="24" t="s">
        <v>30</v>
      </c>
      <c r="E10" s="20" t="str">
        <f>VLOOKUP(TableauInventaire[[#This Row],[Référence]],TableauMarchandise[],3,FALSE)</f>
        <v>Biscuits</v>
      </c>
      <c r="F10" s="20" t="str">
        <f>VLOOKUP(TableauInventaire[[#This Row],[Référence]],TableauMarchandise[],4,FALSE)</f>
        <v>Pack de 10 unité</v>
      </c>
      <c r="G10" s="20">
        <f>IFERROR(VLOOKUP(TableauInventaire[[#This Row],[Référence]],TableauMarchandise[],5,FALSE),"")</f>
        <v>100</v>
      </c>
      <c r="H10" s="20">
        <f>VLOOKUP(TableauInventaire[[#This Row],[Référence]],TableauMarchandise[],6,FALSE)</f>
        <v>74</v>
      </c>
      <c r="I10" s="23">
        <f>SUMIF(TableauEntrée[Référence],TableauInventaire[Référence],TableauEntrée[Quantité])</f>
        <v>0</v>
      </c>
      <c r="J10" s="23">
        <f>SUMIF(TableauSorties[Référence],TableauInventaire[Référence],TableauSorties[Quantité])</f>
        <v>5</v>
      </c>
      <c r="K10" s="23">
        <f>TableauInventaire[[#This Row],[Stock initial]]+TableauInventaire[[#This Row],[Entrées]]-J10</f>
        <v>69</v>
      </c>
      <c r="L10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2</v>
      </c>
      <c r="M10" s="22">
        <f>TableauInventaire[[#This Row],[CUMP]]*TableauInventaire[[#This Row],[Stock final]]</f>
        <v>138</v>
      </c>
      <c r="N10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0" s="2"/>
    </row>
    <row r="11" spans="1:21" ht="18" customHeight="1" x14ac:dyDescent="0.25">
      <c r="B11" s="2"/>
      <c r="C11" s="20" t="s">
        <v>47</v>
      </c>
      <c r="D11" s="24" t="s">
        <v>30</v>
      </c>
      <c r="E11" s="20" t="str">
        <f>VLOOKUP(TableauInventaire[[#This Row],[Référence]],TableauMarchandise[],3,FALSE)</f>
        <v>Biscuits</v>
      </c>
      <c r="F11" s="20" t="str">
        <f>VLOOKUP(TableauInventaire[[#This Row],[Référence]],TableauMarchandise[],4,FALSE)</f>
        <v>Pack de 10 unité</v>
      </c>
      <c r="G11" s="20">
        <f>IFERROR(VLOOKUP(TableauInventaire[[#This Row],[Référence]],TableauMarchandise[],5,FALSE),"")</f>
        <v>50</v>
      </c>
      <c r="H11" s="20">
        <f>VLOOKUP(TableauInventaire[[#This Row],[Référence]],TableauMarchandise[],6,FALSE)</f>
        <v>10</v>
      </c>
      <c r="I11" s="23">
        <f>SUMIF(TableauEntrée[Référence],TableauInventaire[Référence],TableauEntrée[Quantité])</f>
        <v>0</v>
      </c>
      <c r="J11" s="23">
        <f>SUMIF(TableauSorties[Référence],TableauInventaire[Référence],TableauSorties[Quantité])</f>
        <v>0</v>
      </c>
      <c r="K11" s="23">
        <f>TableauInventaire[[#This Row],[Stock initial]]+TableauInventaire[[#This Row],[Entrées]]-J11</f>
        <v>10</v>
      </c>
      <c r="L11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1.5</v>
      </c>
      <c r="M11" s="22">
        <f>TableauInventaire[[#This Row],[CUMP]]*TableauInventaire[[#This Row],[Stock final]]</f>
        <v>15</v>
      </c>
      <c r="N11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1" s="2"/>
    </row>
    <row r="12" spans="1:21" ht="18" customHeight="1" x14ac:dyDescent="0.25">
      <c r="B12" s="2"/>
      <c r="C12" s="20" t="s">
        <v>28</v>
      </c>
      <c r="D12" s="24" t="str">
        <f>VLOOKUP(TableauInventaire[[#This Row],[Référence]],TableauMarchandise[],2,FALSE)</f>
        <v>CUISINIERE SIERA</v>
      </c>
      <c r="E12" s="20" t="str">
        <f>VLOOKUP(TableauInventaire[[#This Row],[Référence]],TableauMarchandise[],3,FALSE)</f>
        <v>Electro</v>
      </c>
      <c r="F12" s="20" t="str">
        <f>VLOOKUP(TableauInventaire[[#This Row],[Référence]],TableauMarchandise[],4,FALSE)</f>
        <v>1 Unité</v>
      </c>
      <c r="G12" s="20">
        <f>IFERROR(VLOOKUP(TableauInventaire[[#This Row],[Référence]],TableauMarchandise[],5,FALSE),"")</f>
        <v>10</v>
      </c>
      <c r="H12" s="20">
        <f>VLOOKUP(TableauInventaire[[#This Row],[Référence]],TableauMarchandise[],6,FALSE)</f>
        <v>4</v>
      </c>
      <c r="I12" s="23">
        <f>SUMIF(TableauEntrée[Référence],TableauInventaire[Référence],TableauEntrée[Quantité])</f>
        <v>3</v>
      </c>
      <c r="J12" s="23">
        <f>SUMIF(TableauSorties[Référence],TableauInventaire[Référence],TableauSorties[Quantité])</f>
        <v>2</v>
      </c>
      <c r="K12" s="23">
        <f>TableauInventaire[[#This Row],[Stock initial]]+TableauInventaire[[#This Row],[Entrées]]-J12</f>
        <v>5</v>
      </c>
      <c r="L12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150</v>
      </c>
      <c r="M12" s="22">
        <f>TableauInventaire[[#This Row],[CUMP]]*TableauInventaire[[#This Row],[Stock final]]</f>
        <v>750</v>
      </c>
      <c r="N12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2" s="2"/>
    </row>
    <row r="13" spans="1:21" ht="18" customHeight="1" x14ac:dyDescent="0.25">
      <c r="B13" s="2"/>
      <c r="C13" s="20" t="s">
        <v>48</v>
      </c>
      <c r="D13" s="24" t="s">
        <v>29</v>
      </c>
      <c r="E13" s="20" t="str">
        <f>VLOOKUP(TableauInventaire[[#This Row],[Référence]],TableauMarchandise[],3,FALSE)</f>
        <v>Electro</v>
      </c>
      <c r="F13" s="20" t="str">
        <f>VLOOKUP(TableauInventaire[[#This Row],[Référence]],TableauMarchandise[],4,FALSE)</f>
        <v>1 Unité</v>
      </c>
      <c r="G13" s="20">
        <f>IFERROR(VLOOKUP(TableauInventaire[[#This Row],[Référence]],TableauMarchandise[],5,FALSE),"")</f>
        <v>10</v>
      </c>
      <c r="H13" s="20">
        <f>VLOOKUP(TableauInventaire[[#This Row],[Référence]],TableauMarchandise[],6,FALSE)</f>
        <v>8</v>
      </c>
      <c r="I13" s="23">
        <f>SUMIF(TableauEntrée[Référence],TableauInventaire[Référence],TableauEntrée[Quantité])</f>
        <v>0</v>
      </c>
      <c r="J13" s="23">
        <f>SUMIF(TableauSorties[Référence],TableauInventaire[Référence],TableauSorties[Quantité])</f>
        <v>0</v>
      </c>
      <c r="K13" s="23">
        <f>TableauInventaire[[#This Row],[Stock initial]]+TableauInventaire[[#This Row],[Entrées]]-J13</f>
        <v>8</v>
      </c>
      <c r="L13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130</v>
      </c>
      <c r="M13" s="22">
        <f>TableauInventaire[[#This Row],[CUMP]]*TableauInventaire[[#This Row],[Stock final]]</f>
        <v>1040</v>
      </c>
      <c r="N13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3" s="2"/>
    </row>
    <row r="14" spans="1:21" ht="18" customHeight="1" x14ac:dyDescent="0.25">
      <c r="B14" s="2"/>
      <c r="C14" s="20" t="s">
        <v>49</v>
      </c>
      <c r="D14" s="24" t="s">
        <v>29</v>
      </c>
      <c r="E14" s="20" t="str">
        <f>VLOOKUP(TableauInventaire[[#This Row],[Référence]],TableauMarchandise[],3,FALSE)</f>
        <v>Electro</v>
      </c>
      <c r="F14" s="20" t="str">
        <f>VLOOKUP(TableauInventaire[[#This Row],[Référence]],TableauMarchandise[],4,FALSE)</f>
        <v>1 Unité</v>
      </c>
      <c r="G14" s="20">
        <f>IFERROR(VLOOKUP(TableauInventaire[[#This Row],[Référence]],TableauMarchandise[],5,FALSE),"")</f>
        <v>10</v>
      </c>
      <c r="H14" s="20">
        <f>VLOOKUP(TableauInventaire[[#This Row],[Référence]],TableauMarchandise[],6,FALSE)</f>
        <v>10</v>
      </c>
      <c r="I14" s="23">
        <f>SUMIF(TableauEntrée[Référence],TableauInventaire[Référence],TableauEntrée[Quantité])</f>
        <v>0</v>
      </c>
      <c r="J14" s="23">
        <f>SUMIF(TableauSorties[Référence],TableauInventaire[Référence],TableauSorties[Quantité])</f>
        <v>0</v>
      </c>
      <c r="K14" s="23">
        <f>TableauInventaire[[#This Row],[Stock initial]]+TableauInventaire[[#This Row],[Entrées]]-J14</f>
        <v>10</v>
      </c>
      <c r="L14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120</v>
      </c>
      <c r="M14" s="22">
        <f>TableauInventaire[[#This Row],[CUMP]]*TableauInventaire[[#This Row],[Stock final]]</f>
        <v>1200</v>
      </c>
      <c r="N14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4" s="2"/>
    </row>
    <row r="15" spans="1:21" ht="18" customHeight="1" x14ac:dyDescent="0.25">
      <c r="B15" s="2"/>
      <c r="C15" s="20" t="s">
        <v>50</v>
      </c>
      <c r="D15" s="24" t="s">
        <v>29</v>
      </c>
      <c r="E15" s="20" t="str">
        <f>VLOOKUP(TableauInventaire[[#This Row],[Référence]],TableauMarchandise[],3,FALSE)</f>
        <v>Electro</v>
      </c>
      <c r="F15" s="20" t="str">
        <f>VLOOKUP(TableauInventaire[[#This Row],[Référence]],TableauMarchandise[],4,FALSE)</f>
        <v>1 Unité</v>
      </c>
      <c r="G15" s="20">
        <f>IFERROR(VLOOKUP(TableauInventaire[[#This Row],[Référence]],TableauMarchandise[],5,FALSE),"")</f>
        <v>5</v>
      </c>
      <c r="H15" s="20">
        <f>VLOOKUP(TableauInventaire[[#This Row],[Référence]],TableauMarchandise[],6,FALSE)</f>
        <v>5</v>
      </c>
      <c r="I15" s="23">
        <f>SUMIF(TableauEntrée[Référence],TableauInventaire[Référence],TableauEntrée[Quantité])</f>
        <v>0</v>
      </c>
      <c r="J15" s="23">
        <f>SUMIF(TableauSorties[Référence],TableauInventaire[Référence],TableauSorties[Quantité])</f>
        <v>0</v>
      </c>
      <c r="K15" s="23">
        <f>TableauInventaire[[#This Row],[Stock initial]]+TableauInventaire[[#This Row],[Entrées]]-J15</f>
        <v>5</v>
      </c>
      <c r="L15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110</v>
      </c>
      <c r="M15" s="22">
        <f>TableauInventaire[[#This Row],[CUMP]]*TableauInventaire[[#This Row],[Stock final]]</f>
        <v>550</v>
      </c>
      <c r="N15" s="23" t="str">
        <f>IF(TableauInventaire[[#This Row],[Stock final]]&gt;TableauInventaire[[#This Row],[Seuil d''alerte]],"Stock normal",IF(TableauInventaire[[#This Row],[Stock final]]=0,"Non disponible","Stock faible"))</f>
        <v>Stock faible</v>
      </c>
      <c r="O15" s="2"/>
    </row>
    <row r="16" spans="1:21" ht="18" customHeight="1" x14ac:dyDescent="0.25">
      <c r="B16" s="2"/>
      <c r="C16" s="20" t="s">
        <v>22</v>
      </c>
      <c r="D16" s="24" t="str">
        <f>VLOOKUP(TableauInventaire[[#This Row],[Référence]],TableauMarchandise[],2,FALSE)</f>
        <v>REFRIGERATEUR A+</v>
      </c>
      <c r="E16" s="20" t="str">
        <f>VLOOKUP(TableauInventaire[[#This Row],[Référence]],TableauMarchandise[],3,FALSE)</f>
        <v>Electro</v>
      </c>
      <c r="F16" s="20" t="str">
        <f>VLOOKUP(TableauInventaire[[#This Row],[Référence]],TableauMarchandise[],4,FALSE)</f>
        <v>1 Unité</v>
      </c>
      <c r="G16" s="20">
        <f>IFERROR(VLOOKUP(TableauInventaire[[#This Row],[Référence]],TableauMarchandise[],5,FALSE),"")</f>
        <v>5</v>
      </c>
      <c r="H16" s="20">
        <f>VLOOKUP(TableauInventaire[[#This Row],[Référence]],TableauMarchandise[],6,FALSE)</f>
        <v>6</v>
      </c>
      <c r="I16" s="23">
        <f>SUMIF(TableauEntrée[Référence],TableauInventaire[Référence],TableauEntrée[Quantité])</f>
        <v>2</v>
      </c>
      <c r="J16" s="23">
        <f>SUMIF(TableauSorties[Référence],TableauInventaire[Référence],TableauSorties[Quantité])</f>
        <v>0</v>
      </c>
      <c r="K16" s="23">
        <f>TableauInventaire[[#This Row],[Stock initial]]+TableauInventaire[[#This Row],[Entrées]]-J16</f>
        <v>8</v>
      </c>
      <c r="L16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300</v>
      </c>
      <c r="M16" s="22">
        <f>TableauInventaire[[#This Row],[CUMP]]*TableauInventaire[[#This Row],[Stock final]]</f>
        <v>2400</v>
      </c>
      <c r="N16" s="23" t="str">
        <f>IF(TableauInventaire[[#This Row],[Stock final]]&gt;TableauInventaire[[#This Row],[Seuil d''alerte]],"Stock normal",IF(TableauInventaire[[#This Row],[Stock final]]=0,"Non disponible","Stock faible"))</f>
        <v>Stock normal</v>
      </c>
      <c r="O16" s="2"/>
    </row>
    <row r="17" spans="1:15" ht="18" customHeight="1" x14ac:dyDescent="0.25">
      <c r="B17" s="2"/>
      <c r="C17" s="20" t="s">
        <v>25</v>
      </c>
      <c r="D17" s="24" t="str">
        <f>VLOOKUP(TableauInventaire[[#This Row],[Référence]],TableauMarchandise[],2,FALSE)</f>
        <v>PLAYSTATION 5</v>
      </c>
      <c r="E17" s="20" t="str">
        <f>VLOOKUP(TableauInventaire[[#This Row],[Référence]],TableauMarchandise[],3,FALSE)</f>
        <v>Consoles</v>
      </c>
      <c r="F17" s="20" t="str">
        <f>VLOOKUP(TableauInventaire[[#This Row],[Référence]],TableauMarchandise[],4,FALSE)</f>
        <v>1 Unité</v>
      </c>
      <c r="G17" s="20">
        <f>IFERROR(VLOOKUP(TableauInventaire[[#This Row],[Référence]],TableauMarchandise[],5,FALSE),"")</f>
        <v>5</v>
      </c>
      <c r="H17" s="20">
        <f>VLOOKUP(TableauInventaire[[#This Row],[Référence]],TableauMarchandise[],6,FALSE)</f>
        <v>7</v>
      </c>
      <c r="I17" s="23">
        <f>SUMIF(TableauEntrée[Référence],TableauInventaire[Référence],TableauEntrée[Quantité])</f>
        <v>1</v>
      </c>
      <c r="J17" s="23">
        <f>SUMIF(TableauSorties[Référence],TableauInventaire[Référence],TableauSorties[Quantité])</f>
        <v>1</v>
      </c>
      <c r="K17" s="23">
        <f>TableauInventaire[[#This Row],[Stock initial]]+TableauInventaire[[#This Row],[Entrées]]-J17</f>
        <v>7</v>
      </c>
      <c r="L17" s="22">
        <f>(VLOOKUP(TableauInventaire[[#This Row],[Référence]],TableauMarchandise[],8,FALSE)+SUMIF(TableauEntrée[Référence],TableauInventaire[Référence],TableauEntrée[Total]))/(VLOOKUP(TableauInventaire[[#This Row],[Référence]],TableauMarchandise[],6,FALSE)+SUMIF(TableauEntrée[Référence],TableauInventaire[Référence],TableauEntrée[Quantité]))</f>
        <v>1200</v>
      </c>
      <c r="M17" s="22">
        <f>TableauInventaire[[#This Row],[CUMP]]*TableauInventaire[[#This Row],[Stock final]]</f>
        <v>8400</v>
      </c>
      <c r="N17" s="23" t="str">
        <f>IF(TableauInventaire[[#This Row],[Stock final]]&gt;TableauInventaire[[#This Row],[Seuil d''alerte]],"Stock normal",IF(TableauInventaire[[#This Row],[Stock final]]=0,"Non disponible","Stock faible"))</f>
        <v>Stock normal</v>
      </c>
      <c r="O17" s="2"/>
    </row>
    <row r="18" spans="1:15" x14ac:dyDescent="0.25">
      <c r="B18" s="2"/>
      <c r="C18" s="2"/>
      <c r="D18" s="2"/>
      <c r="E18" s="2"/>
      <c r="F18" s="2"/>
      <c r="G18" s="2"/>
      <c r="H18" s="2"/>
      <c r="I18" s="2"/>
      <c r="J18" s="2"/>
      <c r="K18" s="26"/>
      <c r="L18" s="2"/>
      <c r="M18" s="2"/>
      <c r="N18" s="2"/>
      <c r="O18" s="2"/>
    </row>
    <row r="19" spans="1:15" x14ac:dyDescent="0.25">
      <c r="B19" s="2"/>
      <c r="C19" s="2"/>
      <c r="D19" s="2"/>
      <c r="E19" s="2"/>
      <c r="F19" s="2"/>
      <c r="G19" s="2"/>
      <c r="H19" s="2"/>
      <c r="I19" s="2"/>
      <c r="J19" s="2"/>
      <c r="K19" s="26"/>
      <c r="L19" s="2"/>
      <c r="M19" s="2"/>
      <c r="N19" s="2"/>
      <c r="O19" s="2"/>
    </row>
    <row r="20" spans="1:15" x14ac:dyDescent="0.25">
      <c r="B20" s="2"/>
      <c r="C20" s="2"/>
      <c r="D20" s="2"/>
      <c r="E20" s="2"/>
      <c r="F20" s="2"/>
      <c r="G20" s="2"/>
      <c r="H20" s="2"/>
      <c r="I20" s="2"/>
      <c r="J20" s="2"/>
      <c r="K20" s="26"/>
      <c r="L20" s="2"/>
      <c r="M20" s="2"/>
      <c r="N20" s="2"/>
      <c r="O20" s="2"/>
    </row>
    <row r="21" spans="1:15" x14ac:dyDescent="0.25">
      <c r="B21" s="2"/>
      <c r="C21" s="2"/>
      <c r="D21" s="2"/>
      <c r="E21" s="2"/>
      <c r="F21" s="2"/>
      <c r="G21" s="2"/>
      <c r="H21" s="2"/>
      <c r="I21" s="2"/>
      <c r="J21" s="2"/>
      <c r="K21" s="26"/>
      <c r="L21" s="2"/>
      <c r="M21" s="2"/>
      <c r="N21" s="2"/>
      <c r="O21" s="2"/>
    </row>
    <row r="22" spans="1:15" x14ac:dyDescent="0.25">
      <c r="B22" s="2"/>
      <c r="C22" s="2"/>
      <c r="D22" s="2"/>
      <c r="E22" s="2"/>
      <c r="F22" s="2"/>
      <c r="G22" s="2"/>
      <c r="H22" s="2"/>
      <c r="I22" s="2"/>
      <c r="J22" s="2"/>
      <c r="K22" s="26"/>
      <c r="L22" s="2"/>
      <c r="M22" s="2"/>
      <c r="N22" s="2"/>
      <c r="O22" s="2"/>
    </row>
    <row r="23" spans="1:15" x14ac:dyDescent="0.25">
      <c r="B23" s="2"/>
      <c r="C23" s="2"/>
      <c r="D23" s="2"/>
      <c r="E23" s="2"/>
      <c r="F23" s="2"/>
      <c r="G23" s="2"/>
      <c r="H23" s="2"/>
      <c r="I23" s="2"/>
      <c r="J23" s="2"/>
      <c r="K23" s="26"/>
      <c r="L23" s="2"/>
      <c r="M23" s="2"/>
      <c r="N23" s="2"/>
      <c r="O23" s="2"/>
    </row>
    <row r="24" spans="1:15" x14ac:dyDescent="0.25">
      <c r="B24" s="2"/>
      <c r="C24" s="2"/>
      <c r="D24" s="2"/>
      <c r="E24" s="2"/>
      <c r="F24" s="2"/>
      <c r="G24" s="2"/>
      <c r="H24" s="2"/>
      <c r="I24" s="2"/>
      <c r="J24" s="2"/>
      <c r="K24" s="26"/>
      <c r="L24" s="2"/>
      <c r="M24" s="2"/>
      <c r="N24" s="2"/>
      <c r="O24" s="2"/>
    </row>
    <row r="25" spans="1:15" x14ac:dyDescent="0.25">
      <c r="B25" s="2"/>
      <c r="C25" s="2"/>
      <c r="D25" s="2"/>
      <c r="E25" s="2"/>
      <c r="F25" s="2"/>
      <c r="G25" s="2"/>
      <c r="H25" s="2"/>
      <c r="I25" s="2"/>
      <c r="J25" s="2"/>
      <c r="K25" s="26"/>
      <c r="L25" s="2"/>
      <c r="M25" s="2"/>
      <c r="N25" s="2"/>
      <c r="O25" s="2"/>
    </row>
    <row r="26" spans="1:15" s="2" customFormat="1" x14ac:dyDescent="0.25">
      <c r="A26" s="1"/>
      <c r="K26" s="26"/>
    </row>
    <row r="27" spans="1:15" s="2" customFormat="1" x14ac:dyDescent="0.25">
      <c r="A27" s="1"/>
      <c r="K27" s="26"/>
    </row>
    <row r="28" spans="1:15" s="2" customFormat="1" x14ac:dyDescent="0.25">
      <c r="A28" s="1"/>
      <c r="K28" s="26"/>
    </row>
    <row r="29" spans="1:15" s="2" customFormat="1" x14ac:dyDescent="0.25">
      <c r="A29" s="1"/>
      <c r="K29" s="26"/>
    </row>
    <row r="30" spans="1:15" s="2" customFormat="1" x14ac:dyDescent="0.25">
      <c r="A30" s="1"/>
      <c r="K30" s="26"/>
    </row>
    <row r="31" spans="1:15" s="2" customFormat="1" x14ac:dyDescent="0.25">
      <c r="A31" s="1"/>
      <c r="K31" s="26"/>
    </row>
    <row r="32" spans="1:15" s="2" customFormat="1" x14ac:dyDescent="0.25">
      <c r="A32" s="1"/>
      <c r="K32" s="26"/>
    </row>
    <row r="33" spans="1:14" s="2" customFormat="1" x14ac:dyDescent="0.25">
      <c r="A33" s="1"/>
      <c r="K33" s="26"/>
    </row>
    <row r="34" spans="1:14" s="2" customFormat="1" x14ac:dyDescent="0.25">
      <c r="A34" s="1"/>
      <c r="K34" s="26"/>
    </row>
    <row r="35" spans="1:14" s="2" customFormat="1" x14ac:dyDescent="0.25">
      <c r="A35" s="1"/>
      <c r="K35" s="26"/>
    </row>
    <row r="36" spans="1:14" s="2" customFormat="1" x14ac:dyDescent="0.25">
      <c r="A36" s="1"/>
      <c r="K36" s="26"/>
    </row>
    <row r="37" spans="1:14" s="2" customFormat="1" x14ac:dyDescent="0.25">
      <c r="A37" s="1"/>
      <c r="K37" s="26"/>
    </row>
    <row r="38" spans="1:14" s="2" customFormat="1" x14ac:dyDescent="0.25">
      <c r="A38" s="1"/>
      <c r="C38" s="1"/>
      <c r="D38" s="1"/>
      <c r="E38" s="1"/>
      <c r="F38" s="1"/>
      <c r="G38" s="1"/>
      <c r="H38" s="1"/>
      <c r="I38" s="1"/>
      <c r="J38" s="1"/>
      <c r="K38" s="28"/>
      <c r="L38" s="1"/>
      <c r="M38" s="1"/>
      <c r="N38" s="1"/>
    </row>
    <row r="39" spans="1:14" s="2" customFormat="1" x14ac:dyDescent="0.25">
      <c r="A39" s="1"/>
      <c r="C39" s="1"/>
      <c r="D39" s="1"/>
      <c r="E39" s="1"/>
      <c r="F39" s="1"/>
      <c r="G39" s="1"/>
      <c r="H39" s="1"/>
      <c r="I39" s="1"/>
      <c r="J39" s="1"/>
      <c r="K39" s="28"/>
      <c r="L39" s="1"/>
      <c r="M39" s="1"/>
      <c r="N39" s="1"/>
    </row>
    <row r="40" spans="1:14" s="2" customFormat="1" x14ac:dyDescent="0.25">
      <c r="A40" s="1"/>
      <c r="C40" s="1"/>
      <c r="D40" s="1"/>
      <c r="E40" s="1"/>
      <c r="F40" s="1"/>
      <c r="G40" s="1"/>
      <c r="H40" s="1"/>
      <c r="I40" s="1"/>
      <c r="J40" s="1"/>
      <c r="K40" s="28"/>
      <c r="L40" s="1"/>
      <c r="M40" s="1"/>
      <c r="N40" s="1"/>
    </row>
    <row r="41" spans="1:14" s="2" customFormat="1" x14ac:dyDescent="0.25">
      <c r="A41" s="1"/>
      <c r="C41" s="1"/>
      <c r="D41" s="1"/>
      <c r="E41" s="1"/>
      <c r="F41" s="1"/>
      <c r="G41" s="1"/>
      <c r="H41" s="1"/>
      <c r="I41" s="1"/>
      <c r="J41" s="1"/>
      <c r="K41" s="28"/>
      <c r="L41" s="1"/>
      <c r="M41" s="1"/>
      <c r="N41" s="1"/>
    </row>
  </sheetData>
  <mergeCells count="1">
    <mergeCell ref="C3:E3"/>
  </mergeCells>
  <phoneticPr fontId="6" type="noConversion"/>
  <conditionalFormatting sqref="N8">
    <cfRule type="containsText" dxfId="18" priority="5" operator="containsText" text="Stock non disponible">
      <formula>NOT(ISERROR(SEARCH("Stock non disponible",N8)))</formula>
    </cfRule>
  </conditionalFormatting>
  <conditionalFormatting sqref="N7:N13">
    <cfRule type="containsText" dxfId="17" priority="2" operator="containsText" text="normal ">
      <formula>NOT(ISERROR(SEARCH("normal ",N7)))</formula>
    </cfRule>
    <cfRule type="containsText" dxfId="16" priority="3" operator="containsText" text="faible">
      <formula>NOT(ISERROR(SEARCH("faible",N7)))</formula>
    </cfRule>
    <cfRule type="containsText" dxfId="15" priority="4" stopIfTrue="1" operator="containsText" text="Stock normal">
      <formula>NOT(ISERROR(SEARCH("Stock normal",N7)))</formula>
    </cfRule>
  </conditionalFormatting>
  <conditionalFormatting sqref="N7:N17">
    <cfRule type="containsText" dxfId="14" priority="1" operator="containsText" text="faible">
      <formula>NOT(ISERROR(SEARCH("faible",N7)))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Opérations</vt:lpstr>
      <vt:lpstr>Marchandises</vt:lpstr>
      <vt:lpstr>Entrées</vt:lpstr>
      <vt:lpstr>Traitement</vt:lpstr>
      <vt:lpstr>Tableau de bord</vt:lpstr>
      <vt:lpstr>Sorties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261344610058</dc:creator>
  <cp:lastModifiedBy>261344610058</cp:lastModifiedBy>
  <dcterms:created xsi:type="dcterms:W3CDTF">2026-07-28T07:01:06Z</dcterms:created>
  <dcterms:modified xsi:type="dcterms:W3CDTF">2026-07-30T06:19:15Z</dcterms:modified>
</cp:coreProperties>
</file>