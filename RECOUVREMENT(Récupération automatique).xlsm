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ROTIANA\Desktop\Nouveau dossier (2)\"/>
    </mc:Choice>
  </mc:AlternateContent>
  <xr:revisionPtr revIDLastSave="0" documentId="8_{EDA3995A-1809-46C1-B53C-B85DAFAD6770}" xr6:coauthVersionLast="47" xr6:coauthVersionMax="47" xr10:uidLastSave="{00000000-0000-0000-0000-000000000000}"/>
  <bookViews>
    <workbookView xWindow="-120" yWindow="-120" windowWidth="20730" windowHeight="11160" activeTab="2" xr2:uid="{52D5F2C0-4A4D-437B-889D-9418A616942F}"/>
  </bookViews>
  <sheets>
    <sheet name="Créance" sheetId="1" r:id="rId1"/>
    <sheet name="Règlement" sheetId="2" r:id="rId2"/>
    <sheet name="Rélance" sheetId="3" r:id="rId3"/>
    <sheet name="Paramètres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1" l="1"/>
  <c r="J19" i="1"/>
  <c r="M13" i="1"/>
  <c r="L13" i="1"/>
  <c r="I18" i="1"/>
  <c r="J18" i="1"/>
  <c r="J15" i="1"/>
  <c r="I17" i="1"/>
  <c r="J17" i="1"/>
  <c r="I16" i="1"/>
  <c r="J16" i="1"/>
  <c r="I15" i="1"/>
  <c r="I14" i="1"/>
  <c r="J14" i="1"/>
  <c r="I13" i="1"/>
  <c r="J13" i="1"/>
  <c r="K18" i="1" l="1"/>
  <c r="L18" i="1" s="1"/>
  <c r="K19" i="1"/>
  <c r="M19" i="1" s="1"/>
  <c r="L19" i="1"/>
  <c r="K17" i="1"/>
  <c r="M17" i="1" s="1"/>
  <c r="M18" i="1"/>
  <c r="K14" i="1"/>
  <c r="K16" i="1"/>
  <c r="K15" i="1"/>
  <c r="E10" i="2"/>
  <c r="L17" i="1" l="1"/>
  <c r="L15" i="1"/>
  <c r="M15" i="1"/>
  <c r="L16" i="1"/>
  <c r="M16" i="1"/>
  <c r="L14" i="1"/>
  <c r="M14" i="1"/>
</calcChain>
</file>

<file path=xl/sharedStrings.xml><?xml version="1.0" encoding="utf-8"?>
<sst xmlns="http://schemas.openxmlformats.org/spreadsheetml/2006/main" count="138" uniqueCount="101">
  <si>
    <t>Veuillez saisir les informations de chaque créance</t>
  </si>
  <si>
    <t>N° Facture</t>
  </si>
  <si>
    <t>Délai</t>
  </si>
  <si>
    <t>Montant Facturé</t>
  </si>
  <si>
    <t>Client</t>
  </si>
  <si>
    <t>Date d'émission</t>
  </si>
  <si>
    <t>Montant facturé</t>
  </si>
  <si>
    <r>
      <rPr>
        <sz val="16"/>
        <color theme="3"/>
        <rFont val="Berlin Sans FB"/>
        <family val="2"/>
      </rPr>
      <t>Nouvelle</t>
    </r>
    <r>
      <rPr>
        <sz val="16"/>
        <color theme="1"/>
        <rFont val="Berlin Sans FB"/>
        <family val="2"/>
      </rPr>
      <t xml:space="preserve"> </t>
    </r>
    <r>
      <rPr>
        <sz val="16"/>
        <color rgb="FF00B0F0"/>
        <rFont val="Berlin Sans FB"/>
        <family val="2"/>
      </rPr>
      <t>Créance</t>
    </r>
  </si>
  <si>
    <t>Noms</t>
  </si>
  <si>
    <t>Téléphone</t>
  </si>
  <si>
    <t>Adresse</t>
  </si>
  <si>
    <t>Email</t>
  </si>
  <si>
    <t>Mathieu Bernard</t>
  </si>
  <si>
    <t>Emmanuel Edgardo</t>
  </si>
  <si>
    <t>Gracia Cestin</t>
  </si>
  <si>
    <t>Louinord Joseph</t>
  </si>
  <si>
    <t>Pauline Lamoth</t>
  </si>
  <si>
    <t>Olivier Jean-Louis</t>
  </si>
  <si>
    <t>Eddy Luckecy</t>
  </si>
  <si>
    <t>Guillaume Thimothe</t>
  </si>
  <si>
    <t>Anne Marie Marquant</t>
  </si>
  <si>
    <t>Fedline Joseph</t>
  </si>
  <si>
    <t>Roland Dely</t>
  </si>
  <si>
    <t>Senophat Benjamin</t>
  </si>
  <si>
    <t>Magalie Harold</t>
  </si>
  <si>
    <t>Laurianne Fleur</t>
  </si>
  <si>
    <t>01 53 06 30 43</t>
  </si>
  <si>
    <t>01 42 66 68 49</t>
  </si>
  <si>
    <t>01 58 22 17 10</t>
  </si>
  <si>
    <t>04 72 11 29 99</t>
  </si>
  <si>
    <t>01 56 53 51 05</t>
  </si>
  <si>
    <t>01 41 17 67 18</t>
  </si>
  <si>
    <t>04 77 49 42 42</t>
  </si>
  <si>
    <t>01 49 23 82 52</t>
  </si>
  <si>
    <t>04 47 90 13 07</t>
  </si>
  <si>
    <t>04 77 81 15 15</t>
  </si>
  <si>
    <t>04 77 49 32 40</t>
  </si>
  <si>
    <t xml:space="preserve"> 12, Villa Compoint 75017 Paris</t>
  </si>
  <si>
    <t>10, rue Cambacérès 75008 Paris</t>
  </si>
  <si>
    <t>BP 65054 31033 Toulouse</t>
  </si>
  <si>
    <t>3-5 av-Esquirol 69003 Lyon</t>
  </si>
  <si>
    <t>14, av-Duquesne 75350 Paris</t>
  </si>
  <si>
    <t>88, av-Verdier 92120 Montrouge</t>
  </si>
  <si>
    <t>47 rue des Alliés 430 St Etienne</t>
  </si>
  <si>
    <t>4, av-Duquesne 75350 Paris</t>
  </si>
  <si>
    <t>290 route de Vienne 69355 Lyon</t>
  </si>
  <si>
    <t>47 rue des Alliés 2030 St Etienne</t>
  </si>
  <si>
    <t>41, rue Desaix 75012 Paris</t>
  </si>
  <si>
    <t xml:space="preserve">BP 65054 31033 Toulouse </t>
  </si>
  <si>
    <t>mathieu.bernard@email.com</t>
  </si>
  <si>
    <t>emmanuel.edgardo@email.com</t>
  </si>
  <si>
    <t>louinord.joseph@email.com</t>
  </si>
  <si>
    <t>pauline.lamoth@email.com</t>
  </si>
  <si>
    <t>olivier.louis@email.com</t>
  </si>
  <si>
    <t>eddy.luckecy@email.com</t>
  </si>
  <si>
    <t>guillaume.thimothe@email.com</t>
  </si>
  <si>
    <t>anne.marquant@email.com</t>
  </si>
  <si>
    <t>fedline.joseph@email.com</t>
  </si>
  <si>
    <t>roland.dely@email.com</t>
  </si>
  <si>
    <t>senophat.benjamin@email.com</t>
  </si>
  <si>
    <t>magalie.harold@email.com</t>
  </si>
  <si>
    <t>laurianne.fleur@email.com</t>
  </si>
  <si>
    <t>gracia.cestin@email.com@email.com</t>
  </si>
  <si>
    <t>Délai de règlement</t>
  </si>
  <si>
    <t>Montant encaissé</t>
  </si>
  <si>
    <t>Solde</t>
  </si>
  <si>
    <t>Échéance</t>
  </si>
  <si>
    <t>Retard</t>
  </si>
  <si>
    <t>Statut</t>
  </si>
  <si>
    <t>Action de récouvrement</t>
  </si>
  <si>
    <t>Remarque sur le client</t>
  </si>
  <si>
    <t>Relance 1</t>
  </si>
  <si>
    <t>Relance 2</t>
  </si>
  <si>
    <t>Relance 3</t>
  </si>
  <si>
    <r>
      <rPr>
        <sz val="14"/>
        <color theme="1" tint="0.249977111117893"/>
        <rFont val="Berlin Sans FB"/>
        <family val="2"/>
      </rPr>
      <t>Liste</t>
    </r>
    <r>
      <rPr>
        <sz val="14"/>
        <color theme="1"/>
        <rFont val="Berlin Sans FB"/>
        <family val="2"/>
      </rPr>
      <t xml:space="preserve"> de </t>
    </r>
    <r>
      <rPr>
        <sz val="14"/>
        <color rgb="FF0070C0"/>
        <rFont val="Berlin Sans FB"/>
        <family val="2"/>
      </rPr>
      <t>clients</t>
    </r>
  </si>
  <si>
    <t>Veuillez saisir les informations de chaque client</t>
  </si>
  <si>
    <t>F-033</t>
  </si>
  <si>
    <t>F-O34</t>
  </si>
  <si>
    <t>F-035</t>
  </si>
  <si>
    <r>
      <rPr>
        <sz val="16"/>
        <color theme="3"/>
        <rFont val="Berlin Sans FB"/>
        <family val="2"/>
      </rPr>
      <t>Nouveau</t>
    </r>
    <r>
      <rPr>
        <sz val="16"/>
        <color theme="1"/>
        <rFont val="Berlin Sans FB"/>
        <family val="2"/>
      </rPr>
      <t xml:space="preserve"> </t>
    </r>
    <r>
      <rPr>
        <sz val="16"/>
        <color theme="4"/>
        <rFont val="Berlin Sans FB"/>
        <family val="2"/>
      </rPr>
      <t>règlement</t>
    </r>
  </si>
  <si>
    <t>Veuillez saisir les informations du règlement</t>
  </si>
  <si>
    <t>Rétard(jours)</t>
  </si>
  <si>
    <t>Date d'encaissment</t>
  </si>
  <si>
    <t>Référence</t>
  </si>
  <si>
    <t>Mode de paiement</t>
  </si>
  <si>
    <r>
      <rPr>
        <sz val="16"/>
        <color theme="1" tint="0.34998626667073579"/>
        <rFont val="Berlin Sans FB"/>
        <family val="2"/>
      </rPr>
      <t>Historique</t>
    </r>
    <r>
      <rPr>
        <sz val="16"/>
        <color theme="1"/>
        <rFont val="Berlin Sans FB"/>
        <family val="2"/>
      </rPr>
      <t xml:space="preserve"> de </t>
    </r>
    <r>
      <rPr>
        <sz val="16"/>
        <color theme="4" tint="-0.249977111117893"/>
        <rFont val="Berlin Sans FB"/>
        <family val="2"/>
      </rPr>
      <t>règlements</t>
    </r>
  </si>
  <si>
    <t>Date d'encaissement</t>
  </si>
  <si>
    <t>R-003</t>
  </si>
  <si>
    <t>Espèce</t>
  </si>
  <si>
    <r>
      <t xml:space="preserve">Liste de </t>
    </r>
    <r>
      <rPr>
        <sz val="16"/>
        <color rgb="FF00B0F0"/>
        <rFont val="Berlin Sans FB"/>
        <family val="2"/>
      </rPr>
      <t>créances</t>
    </r>
  </si>
  <si>
    <t>R-002</t>
  </si>
  <si>
    <t>Virement</t>
  </si>
  <si>
    <t>R-001</t>
  </si>
  <si>
    <t>Chèque</t>
  </si>
  <si>
    <t>F-036</t>
  </si>
  <si>
    <t>F-037</t>
  </si>
  <si>
    <t>F-038</t>
  </si>
  <si>
    <r>
      <rPr>
        <sz val="16"/>
        <color theme="1" tint="0.34998626667073579"/>
        <rFont val="Berlin Sans FB"/>
        <family val="2"/>
      </rPr>
      <t xml:space="preserve">Liste de </t>
    </r>
    <r>
      <rPr>
        <sz val="16"/>
        <color theme="8"/>
        <rFont val="Berlin Sans FB"/>
        <family val="2"/>
      </rPr>
      <t>rélances</t>
    </r>
  </si>
  <si>
    <t>Retard (jours)</t>
  </si>
  <si>
    <t>Relance</t>
  </si>
  <si>
    <t>Télephone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</si>
</sst>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C]_-;\-* #,##0.00\ [$€-40C]_-;_-* &quot;-&quot;??\ [$€-40C]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Berlin Sans FB"/>
      <family val="2"/>
    </font>
    <font>
      <sz val="12"/>
      <color theme="1"/>
      <name val="Berlin Sans FB"/>
      <family val="2"/>
    </font>
    <font>
      <sz val="14"/>
      <color theme="1"/>
      <name val="Berlin Sans FB"/>
      <family val="2"/>
    </font>
    <font>
      <sz val="11"/>
      <color theme="1"/>
      <name val="Verdana"/>
      <family val="2"/>
    </font>
    <font>
      <sz val="16"/>
      <color theme="1"/>
      <name val="Berlin Sans FB"/>
      <family val="2"/>
    </font>
    <font>
      <sz val="16"/>
      <color theme="3"/>
      <name val="Berlin Sans FB"/>
      <family val="2"/>
    </font>
    <font>
      <sz val="16"/>
      <color theme="4"/>
      <name val="Berlin Sans FB"/>
      <family val="2"/>
    </font>
    <font>
      <sz val="16"/>
      <color theme="4" tint="-0.249977111117893"/>
      <name val="Berlin Sans FB"/>
      <family val="2"/>
    </font>
    <font>
      <sz val="16"/>
      <color rgb="FF00B0F0"/>
      <name val="Berlin Sans FB"/>
      <family val="2"/>
    </font>
    <font>
      <sz val="11"/>
      <color theme="1" tint="0.249977111117893"/>
      <name val="Arial Rounded MT Bold"/>
      <family val="2"/>
    </font>
    <font>
      <u/>
      <sz val="11"/>
      <color theme="10"/>
      <name val="Calibri"/>
      <family val="2"/>
      <scheme val="minor"/>
    </font>
    <font>
      <sz val="11"/>
      <color theme="0"/>
      <name val="Berlin Sans FB"/>
      <family val="2"/>
    </font>
    <font>
      <u/>
      <sz val="11"/>
      <color theme="10"/>
      <name val="Berlin Sans FB"/>
      <family val="2"/>
    </font>
    <font>
      <sz val="11"/>
      <color rgb="FF0070C0"/>
      <name val="Berlin Sans FB"/>
      <family val="2"/>
    </font>
    <font>
      <sz val="14"/>
      <color rgb="FF0070C0"/>
      <name val="Berlin Sans FB"/>
      <family val="2"/>
    </font>
    <font>
      <sz val="14"/>
      <color theme="1" tint="0.249977111117893"/>
      <name val="Berlin Sans FB"/>
      <family val="2"/>
    </font>
    <font>
      <b/>
      <sz val="11"/>
      <color theme="1"/>
      <name val="Trebuchet MS"/>
      <family val="2"/>
    </font>
    <font>
      <b/>
      <sz val="11"/>
      <color theme="1"/>
      <name val="Verdana"/>
      <family val="2"/>
    </font>
    <font>
      <sz val="16"/>
      <color theme="1" tint="0.34998626667073579"/>
      <name val="Berlin Sans FB"/>
      <family val="2"/>
    </font>
    <font>
      <b/>
      <sz val="11"/>
      <color theme="1" tint="0.249977111117893"/>
      <name val="Arial Black"/>
      <family val="2"/>
    </font>
    <font>
      <b/>
      <sz val="11"/>
      <color theme="1"/>
      <name val="Arial Black"/>
      <family val="2"/>
    </font>
    <font>
      <b/>
      <sz val="12"/>
      <color theme="1" tint="0.249977111117893"/>
      <name val="Arial Black"/>
      <family val="2"/>
    </font>
    <font>
      <sz val="10"/>
      <color theme="1"/>
      <name val="Arial Black"/>
      <family val="2"/>
    </font>
    <font>
      <sz val="16"/>
      <color theme="8"/>
      <name val="Berlin Sans FB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4" borderId="0" xfId="0" applyFont="1" applyFill="1"/>
    <xf numFmtId="0" fontId="12" fillId="5" borderId="0" xfId="0" applyFont="1" applyFill="1" applyAlignment="1">
      <alignment horizontal="left" vertical="center"/>
    </xf>
    <xf numFmtId="0" fontId="13" fillId="4" borderId="0" xfId="1" applyFont="1" applyFill="1"/>
    <xf numFmtId="0" fontId="14" fillId="4" borderId="0" xfId="0" applyFont="1" applyFill="1"/>
    <xf numFmtId="0" fontId="10" fillId="4" borderId="0" xfId="0" applyFont="1" applyFill="1" applyAlignment="1">
      <alignment horizontal="left" indent="3"/>
    </xf>
    <xf numFmtId="0" fontId="10" fillId="4" borderId="0" xfId="0" applyFont="1" applyFill="1" applyAlignment="1">
      <alignment horizontal="left" indent="4"/>
    </xf>
    <xf numFmtId="0" fontId="10" fillId="4" borderId="0" xfId="0" applyFont="1" applyFill="1" applyAlignment="1">
      <alignment horizontal="left" indent="5"/>
    </xf>
    <xf numFmtId="0" fontId="17" fillId="4" borderId="1" xfId="0" applyFont="1" applyFill="1" applyBorder="1" applyAlignment="1">
      <alignment horizontal="left" vertical="center"/>
    </xf>
    <xf numFmtId="14" fontId="17" fillId="4" borderId="1" xfId="0" applyNumberFormat="1" applyFont="1" applyFill="1" applyBorder="1" applyAlignment="1">
      <alignment horizontal="left" vertical="center"/>
    </xf>
    <xf numFmtId="164" fontId="17" fillId="4" borderId="1" xfId="0" applyNumberFormat="1" applyFont="1" applyFill="1" applyBorder="1" applyAlignment="1">
      <alignment horizontal="center" vertical="center"/>
    </xf>
    <xf numFmtId="0" fontId="17" fillId="4" borderId="0" xfId="0" applyFont="1" applyFill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18" fillId="4" borderId="0" xfId="0" applyFont="1" applyFill="1" applyAlignment="1">
      <alignment horizontal="center" vertical="center"/>
    </xf>
    <xf numFmtId="14" fontId="18" fillId="4" borderId="0" xfId="0" applyNumberFormat="1" applyFont="1" applyFill="1" applyAlignment="1">
      <alignment horizontal="center" vertical="center"/>
    </xf>
    <xf numFmtId="164" fontId="18" fillId="4" borderId="0" xfId="0" applyNumberFormat="1" applyFont="1" applyFill="1" applyAlignment="1">
      <alignment horizontal="center" vertical="center"/>
    </xf>
    <xf numFmtId="0" fontId="10" fillId="4" borderId="0" xfId="0" applyFont="1" applyFill="1" applyAlignment="1">
      <alignment horizontal="left" indent="8"/>
    </xf>
    <xf numFmtId="0" fontId="10" fillId="4" borderId="0" xfId="0" applyFont="1" applyFill="1" applyAlignment="1">
      <alignment horizontal="left" indent="11"/>
    </xf>
    <xf numFmtId="14" fontId="17" fillId="4" borderId="0" xfId="0" applyNumberFormat="1" applyFont="1" applyFill="1" applyAlignment="1">
      <alignment horizontal="left" vertical="center"/>
    </xf>
    <xf numFmtId="164" fontId="17" fillId="4" borderId="0" xfId="0" applyNumberFormat="1" applyFont="1" applyFill="1" applyAlignment="1">
      <alignment horizontal="center" vertical="center"/>
    </xf>
    <xf numFmtId="0" fontId="10" fillId="4" borderId="0" xfId="0" applyFont="1" applyFill="1" applyAlignment="1">
      <alignment horizontal="left" indent="20"/>
    </xf>
    <xf numFmtId="0" fontId="10" fillId="4" borderId="0" xfId="0" applyFont="1" applyFill="1" applyAlignment="1">
      <alignment horizontal="left" indent="18"/>
    </xf>
    <xf numFmtId="0" fontId="10" fillId="4" borderId="0" xfId="0" applyFont="1" applyFill="1" applyAlignment="1">
      <alignment horizontal="left" indent="24"/>
    </xf>
    <xf numFmtId="0" fontId="21" fillId="4" borderId="0" xfId="0" applyFont="1" applyFill="1" applyAlignment="1">
      <alignment horizontal="center" vertical="center"/>
    </xf>
    <xf numFmtId="0" fontId="21" fillId="4" borderId="0" xfId="0" applyFont="1" applyFill="1" applyAlignment="1">
      <alignment horizontal="left" vertical="center"/>
    </xf>
    <xf numFmtId="44" fontId="21" fillId="4" borderId="0" xfId="0" applyNumberFormat="1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14" fontId="2" fillId="4" borderId="0" xfId="0" applyNumberFormat="1" applyFont="1" applyFill="1" applyAlignment="1">
      <alignment horizontal="left" vertical="center"/>
    </xf>
    <xf numFmtId="164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2" fillId="4" borderId="0" xfId="0" applyFont="1" applyFill="1" applyAlignment="1">
      <alignment horizontal="left" vertical="center"/>
    </xf>
    <xf numFmtId="0" fontId="23" fillId="4" borderId="0" xfId="0" applyFont="1" applyFill="1" applyAlignment="1">
      <alignment horizontal="left" vertical="center"/>
    </xf>
    <xf numFmtId="0" fontId="17" fillId="4" borderId="2" xfId="0" applyFont="1" applyFill="1" applyBorder="1" applyAlignment="1">
      <alignment horizontal="left" vertical="center"/>
    </xf>
    <xf numFmtId="0" fontId="5" fillId="4" borderId="0" xfId="0" applyFont="1" applyFill="1"/>
    <xf numFmtId="0" fontId="4" fillId="4" borderId="0" xfId="0" applyFont="1" applyFill="1"/>
    <xf numFmtId="0" fontId="0" fillId="4" borderId="0" xfId="0" applyFill="1"/>
    <xf numFmtId="0" fontId="19" fillId="4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1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23" fillId="4" borderId="0" xfId="0" applyNumberFormat="1" applyFont="1" applyFill="1" applyAlignment="1">
      <alignment horizontal="left" vertical="center"/>
    </xf>
    <xf numFmtId="0" fontId="18" fillId="4" borderId="0" xfId="0" applyNumberFormat="1" applyFont="1" applyFill="1" applyAlignment="1">
      <alignment horizontal="left" vertical="center"/>
    </xf>
  </cellXfs>
  <cellStyles count="2">
    <cellStyle name="Lien hypertexte" xfId="1" builtinId="8"/>
    <cellStyle name="Normal" xfId="0" builtinId="0"/>
  </cellStyles>
  <dxfs count="48">
    <dxf>
      <font>
        <color theme="2" tint="-9.9948118533890809E-2"/>
      </font>
    </dxf>
    <dxf>
      <font>
        <color theme="0"/>
      </font>
      <fill>
        <patternFill>
          <bgColor rgb="FFF6F616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0" tint="-0.14996795556505021"/>
        </patternFill>
      </fill>
    </dxf>
    <dxf>
      <fill>
        <patternFill>
          <bgColor theme="8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rlin Sans FB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rlin Sans FB"/>
        <family val="2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rlin Sans FB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rlin Sans FB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Black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Arial Blac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rlin Sans FB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Berlin Sans FB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1"/>
        <name val="Berlin Sans FB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1"/>
        <name val="Berlin Sans FB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1"/>
        <name val="Berlin Sans FB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1"/>
        <name val="Berlin Sans FB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1"/>
        <name val="Berlin Sans FB"/>
        <family val="2"/>
        <scheme val="none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rlin Sans FB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rlin Sans FB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rlin Sans FB"/>
        <family val="2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rlin Sans FB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rlin Sans FB"/>
        <family val="2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Black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249977111117893"/>
        <name val="Arial Blac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rlin Sans FB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3D84A3"/>
      <color rgb="FF2CDDC7"/>
      <color rgb="FF26D11C"/>
      <color rgb="FFF6F616"/>
      <color rgb="FFFFD44B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1005417</xdr:colOff>
      <xdr:row>6</xdr:row>
      <xdr:rowOff>84667</xdr:rowOff>
    </xdr:from>
    <xdr:to>
      <xdr:col>10</xdr:col>
      <xdr:colOff>973667</xdr:colOff>
      <xdr:row>8</xdr:row>
      <xdr:rowOff>74084</xdr:rowOff>
    </xdr:to>
    <xdr:sp macro="[0]!Macro1ajout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726EFC3-2E15-5E2E-57BF-B7E733CE2A5C}"/>
            </a:ext>
          </a:extLst>
        </xdr:cNvPr>
        <xdr:cNvSpPr/>
      </xdr:nvSpPr>
      <xdr:spPr>
        <a:xfrm>
          <a:off x="11112500" y="1661584"/>
          <a:ext cx="1185334" cy="370417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latin typeface="Berlin Sans FB" panose="020E0602020502020306" pitchFamily="34" charset="0"/>
            </a:rPr>
            <a:t>     Ajouter</a:t>
          </a:r>
        </a:p>
      </xdr:txBody>
    </xdr:sp>
    <xdr:clientData/>
  </xdr:twoCellAnchor>
  <xdr:twoCellAnchor>
    <xdr:from>
      <xdr:col>9</xdr:col>
      <xdr:colOff>1005417</xdr:colOff>
      <xdr:row>8</xdr:row>
      <xdr:rowOff>148165</xdr:rowOff>
    </xdr:from>
    <xdr:to>
      <xdr:col>10</xdr:col>
      <xdr:colOff>994833</xdr:colOff>
      <xdr:row>10</xdr:row>
      <xdr:rowOff>116416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A43FAA1-7384-F21E-6DAC-731FFB2F57B1}"/>
            </a:ext>
          </a:extLst>
        </xdr:cNvPr>
        <xdr:cNvSpPr/>
      </xdr:nvSpPr>
      <xdr:spPr>
        <a:xfrm>
          <a:off x="11112500" y="2106082"/>
          <a:ext cx="1206500" cy="349251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" panose="020E0602020502020306" pitchFamily="34" charset="0"/>
            </a:rPr>
            <a:t>     Annuler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520096</xdr:colOff>
      <xdr:row>6</xdr:row>
      <xdr:rowOff>154213</xdr:rowOff>
    </xdr:from>
    <xdr:to>
      <xdr:col>8</xdr:col>
      <xdr:colOff>285751</xdr:colOff>
      <xdr:row>8</xdr:row>
      <xdr:rowOff>116417</xdr:rowOff>
    </xdr:to>
    <xdr:sp macro="[0]!Module2.Macro2reg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A9F249B-8BEC-498D-8403-258027774DD1}"/>
            </a:ext>
          </a:extLst>
        </xdr:cNvPr>
        <xdr:cNvSpPr/>
      </xdr:nvSpPr>
      <xdr:spPr>
        <a:xfrm>
          <a:off x="8880929" y="1921630"/>
          <a:ext cx="1236739" cy="39612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latin typeface="Berlin Sans FB" panose="020E0602020502020306" pitchFamily="34" charset="0"/>
            </a:rPr>
            <a:t>     Ajouter</a:t>
          </a:r>
        </a:p>
      </xdr:txBody>
    </xdr:sp>
    <xdr:clientData/>
  </xdr:twoCellAnchor>
  <xdr:twoCellAnchor>
    <xdr:from>
      <xdr:col>7</xdr:col>
      <xdr:colOff>506490</xdr:colOff>
      <xdr:row>8</xdr:row>
      <xdr:rowOff>205618</xdr:rowOff>
    </xdr:from>
    <xdr:to>
      <xdr:col>8</xdr:col>
      <xdr:colOff>285751</xdr:colOff>
      <xdr:row>10</xdr:row>
      <xdr:rowOff>105834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C3EC9DE-2C0D-418F-A021-5701D6487F17}"/>
            </a:ext>
          </a:extLst>
        </xdr:cNvPr>
        <xdr:cNvSpPr/>
      </xdr:nvSpPr>
      <xdr:spPr>
        <a:xfrm>
          <a:off x="8867323" y="2406951"/>
          <a:ext cx="1250345" cy="38705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" panose="020E0602020502020306" pitchFamily="34" charset="0"/>
            </a:rPr>
            <a:t>     Annuler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329596</xdr:colOff>
      <xdr:row>1</xdr:row>
      <xdr:rowOff>44676</xdr:rowOff>
    </xdr:from>
    <xdr:to>
      <xdr:col>9</xdr:col>
      <xdr:colOff>533401</xdr:colOff>
      <xdr:row>2</xdr:row>
      <xdr:rowOff>138113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100F181-7E81-4FCD-A502-7B5E011F48C4}"/>
            </a:ext>
          </a:extLst>
        </xdr:cNvPr>
        <xdr:cNvSpPr/>
      </xdr:nvSpPr>
      <xdr:spPr>
        <a:xfrm>
          <a:off x="9178321" y="1197201"/>
          <a:ext cx="1137255" cy="283937"/>
        </a:xfrm>
        <a:prstGeom prst="roundRect">
          <a:avLst/>
        </a:prstGeom>
        <a:solidFill>
          <a:srgbClr val="3D84A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latin typeface="Berlin Sans FB" panose="020E0602020502020306" pitchFamily="34" charset="0"/>
            </a:rPr>
            <a:t>    Relance 3</a:t>
          </a:r>
        </a:p>
      </xdr:txBody>
    </xdr:sp>
    <xdr:clientData/>
  </xdr:twoCellAnchor>
  <xdr:twoCellAnchor>
    <xdr:from>
      <xdr:col>9</xdr:col>
      <xdr:colOff>620791</xdr:colOff>
      <xdr:row>1</xdr:row>
      <xdr:rowOff>48532</xdr:rowOff>
    </xdr:from>
    <xdr:to>
      <xdr:col>10</xdr:col>
      <xdr:colOff>866776</xdr:colOff>
      <xdr:row>2</xdr:row>
      <xdr:rowOff>134257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6AB557EC-7DBD-46E5-9C00-A35D5CB238F6}"/>
            </a:ext>
          </a:extLst>
        </xdr:cNvPr>
        <xdr:cNvSpPr/>
      </xdr:nvSpPr>
      <xdr:spPr>
        <a:xfrm>
          <a:off x="10402966" y="239032"/>
          <a:ext cx="1093710" cy="276225"/>
        </a:xfrm>
        <a:prstGeom prst="roundRect">
          <a:avLst/>
        </a:prstGeom>
        <a:solidFill>
          <a:srgbClr val="2CDDC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" panose="020E0602020502020306" pitchFamily="34" charset="0"/>
            </a:rPr>
            <a:t>    Envoyer</a:t>
          </a:r>
        </a:p>
      </xdr:txBody>
    </xdr:sp>
    <xdr:clientData/>
  </xdr:twoCellAnchor>
  <xdr:twoCellAnchor>
    <xdr:from>
      <xdr:col>7</xdr:col>
      <xdr:colOff>453421</xdr:colOff>
      <xdr:row>1</xdr:row>
      <xdr:rowOff>44676</xdr:rowOff>
    </xdr:from>
    <xdr:to>
      <xdr:col>8</xdr:col>
      <xdr:colOff>219076</xdr:colOff>
      <xdr:row>2</xdr:row>
      <xdr:rowOff>138113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17239BA-F2AB-2432-F77C-519C466D1B55}"/>
            </a:ext>
          </a:extLst>
        </xdr:cNvPr>
        <xdr:cNvSpPr/>
      </xdr:nvSpPr>
      <xdr:spPr>
        <a:xfrm>
          <a:off x="7930546" y="1197201"/>
          <a:ext cx="1137255" cy="283937"/>
        </a:xfrm>
        <a:prstGeom prst="roundRect">
          <a:avLst/>
        </a:prstGeom>
        <a:solidFill>
          <a:srgbClr val="3D84A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latin typeface="Berlin Sans FB" panose="020E0602020502020306" pitchFamily="34" charset="0"/>
            </a:rPr>
            <a:t>    Relance 2</a:t>
          </a:r>
        </a:p>
      </xdr:txBody>
    </xdr:sp>
    <xdr:clientData/>
  </xdr:twoCellAnchor>
  <xdr:twoCellAnchor>
    <xdr:from>
      <xdr:col>6</xdr:col>
      <xdr:colOff>396271</xdr:colOff>
      <xdr:row>1</xdr:row>
      <xdr:rowOff>44676</xdr:rowOff>
    </xdr:from>
    <xdr:to>
      <xdr:col>7</xdr:col>
      <xdr:colOff>333376</xdr:colOff>
      <xdr:row>2</xdr:row>
      <xdr:rowOff>138113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E408F56-662F-BEFB-4527-39F33E43FA4B}"/>
            </a:ext>
          </a:extLst>
        </xdr:cNvPr>
        <xdr:cNvSpPr/>
      </xdr:nvSpPr>
      <xdr:spPr>
        <a:xfrm>
          <a:off x="6673246" y="1197201"/>
          <a:ext cx="1137255" cy="283937"/>
        </a:xfrm>
        <a:prstGeom prst="roundRect">
          <a:avLst/>
        </a:prstGeom>
        <a:solidFill>
          <a:srgbClr val="3D84A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latin typeface="Berlin Sans FB" panose="020E0602020502020306" pitchFamily="34" charset="0"/>
            </a:rPr>
            <a:t>    Relance 1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2259E2-B3C3-49E1-828F-17E942D37FE0}" name="listeCréance" displayName="listeCréance" ref="C12:Q19" totalsRowShown="0" headerRowDxfId="39" dataDxfId="38">
  <autoFilter ref="C12:Q19" xr:uid="{2D2259E2-B3C3-49E1-828F-17E942D37FE0}"/>
  <tableColumns count="15">
    <tableColumn id="1" xr3:uid="{CA3CDE04-AA58-4CA1-8767-AEBC10811E04}" name="N° Facture" dataDxfId="37"/>
    <tableColumn id="2" xr3:uid="{B2BCE763-8A4D-459A-82BE-6F9C3DBA85F3}" name="Date d'émission" dataDxfId="36"/>
    <tableColumn id="16" xr3:uid="{D6090EBA-8BC8-4A26-956C-8BC3926BD419}" name="Client" dataDxfId="35"/>
    <tableColumn id="3" xr3:uid="{9ECB615E-BF5E-4372-A6A5-4DE5602DB2B8}" name="Délai de règlement" dataDxfId="34"/>
    <tableColumn id="4" xr3:uid="{901A9DE3-0752-4CA1-9FC5-C108B544E709}" name="Montant Facturé" dataDxfId="33"/>
    <tableColumn id="5" xr3:uid="{53F53ADB-F9BD-4D27-8EFE-11668E7C9E18}" name="Montant encaissé" dataDxfId="32"/>
    <tableColumn id="6" xr3:uid="{B02B5F94-65D3-4B35-BE3E-CA7A8E6FA853}" name="Solde" dataDxfId="31">
      <calculatedColumnFormula>listeCréance[[#This Row],[Montant Facturé]]-listeCréance[[#This Row],[Montant encaissé]]</calculatedColumnFormula>
    </tableColumn>
    <tableColumn id="7" xr3:uid="{4E19B287-D28B-4BE4-B835-E7081BB04059}" name="Échéance" dataDxfId="30">
      <calculatedColumnFormula>listeCréance[[#This Row],[Date d''émission]]+listeCréance[[#This Row],[Délai de règlement]]</calculatedColumnFormula>
    </tableColumn>
    <tableColumn id="8" xr3:uid="{273C8BF1-C71B-4942-9F0E-0F19619C8AAF}" name="Retard" dataDxfId="29">
      <calculatedColumnFormula>IF(listeCréance[[#This Row],[Solde]]=0,"",TODAY()-listeCréance[[#This Row],[Échéance]])</calculatedColumnFormula>
    </tableColumn>
    <tableColumn id="9" xr3:uid="{8D87DB1B-BA0A-4493-888E-1E269FADAAE6}" name="Statut" dataDxfId="18">
      <calculatedColumnFormula>IF(listeCréance[[#This Row],[Retard]]="","Payéé",IF(listeCréance[[#This Row],[Retard]]&lt;=0,"Non échue",IF(listeCréance[[#This Row],[Retard]]&lt;=30,"Echue[1,30]",IF(listeCréance[[#This Row],[Retard]]&lt;=60,"Echue[31,60]",IF(listeCréance[[#This Row],[Retard]]&lt;=90,"Echue[61,90]","Echue&gt;90")))))</calculatedColumnFormula>
    </tableColumn>
    <tableColumn id="10" xr3:uid="{56F23A2E-60CC-4C14-A19E-67292FE2EE2C}" name="Action de récouvrement" dataDxfId="17">
      <calculatedColumnFormula>IF(listeCréance[[#This Row],[Retard]]="","",IF(listeCréance[[#This Row],[Retard]]&lt;15,"",IF(AND(listeCréance[[#This Row],[Retard]]&gt;=15,listeCréance[[#This Row],[Retard]]&lt;30,listeCréance[[#This Row],[Relance 1]]=""),"Relance 1",IF(AND(listeCréance[[#This Row],[Retard]]&gt;=30,listeCréance[[#This Row],[Retard]]&lt;45,listeCréance[[#This Row],[Relance 2]]=""),"Relance 2",IF(AND(listeCréance[[#This Row],[Retard]]&gt;=45,listeCréance[[#This Row],[Retard]]&lt;60,listeCréance[[#This Row],[Relance 3]]=""),"Relance 3",IF(AND(listeCréance[[#This Row],[Retard]]&gt;=60,listeCréance[[#This Row],[Retard]]&lt;90),"Mise en demeure",IF(AND(listeCréance[[#This Row],[Retard]]&gt;=90,listeCréance[[#This Row],[Retard]]&lt;10000),"Contentieux","")))))))</calculatedColumnFormula>
    </tableColumn>
    <tableColumn id="11" xr3:uid="{25B76BE6-CF67-4FEA-8081-670C6980503A}" name="Remarque sur le client" dataDxfId="28"/>
    <tableColumn id="12" xr3:uid="{C187DA52-F198-432A-8467-CFD1CCBF32F1}" name="Relance 1" dataDxfId="27"/>
    <tableColumn id="13" xr3:uid="{3C748559-B698-47F4-BA3A-4B0F2EEDAA7C}" name="Relance 2" dataDxfId="26"/>
    <tableColumn id="14" xr3:uid="{5237C3B9-D8E2-4FB9-B80C-D5E995D2276D}" name="Relance 3" dataDxfId="25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2E3620-ABA6-4C6A-BB7F-A3E1192A3CF2}" name="Tableau46" displayName="Tableau46" ref="C15:H18" totalsRowShown="0" headerRowDxfId="47" dataDxfId="46">
  <autoFilter ref="C15:H18" xr:uid="{452E3620-ABA6-4C6A-BB7F-A3E1192A3CF2}"/>
  <tableColumns count="6">
    <tableColumn id="1" xr3:uid="{9DAB7A6B-9524-475D-A222-E55EB29BFBF4}" name="N° Facture" dataDxfId="45"/>
    <tableColumn id="2" xr3:uid="{3C68ED8C-A3E9-4C52-8A5C-C3DEC720CB11}" name="Client" dataDxfId="44"/>
    <tableColumn id="16" xr3:uid="{126066B1-524C-4446-A028-312D231C1B5C}" name="Date d'encaissement" dataDxfId="43"/>
    <tableColumn id="3" xr3:uid="{253AE0AB-BDA7-4E5A-B90C-7A94E0A92A93}" name="Référence" dataDxfId="42"/>
    <tableColumn id="4" xr3:uid="{7D1859EB-1EF7-46A0-8614-86A20FA1479B}" name="Montant encaissé" dataDxfId="41"/>
    <tableColumn id="5" xr3:uid="{880039C2-5E39-49EC-A256-A2D18A210378}" name="Mode de paiement" dataDxfId="40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80D39-4BDE-41E8-9F88-BE6A8B1A8E3F}" name="Tableau462" displayName="Tableau462" ref="C4:K7" totalsRowShown="0" headerRowDxfId="16" dataDxfId="15">
  <autoFilter ref="C4:K7" xr:uid="{57A80D39-4BDE-41E8-9F88-BE6A8B1A8E3F}"/>
  <tableColumns count="9">
    <tableColumn id="1" xr3:uid="{7D328471-FE2B-4C9A-B7D6-82354206909F}" name="N° Facture" dataDxfId="14"/>
    <tableColumn id="2" xr3:uid="{F6953734-332B-4C02-8FF8-2FA5C5033696}" name="Client" dataDxfId="13"/>
    <tableColumn id="16" xr3:uid="{B2C3A46B-F6BD-41B7-A9FA-E1C15E28C6E0}" name="Date d'émission" dataDxfId="12"/>
    <tableColumn id="3" xr3:uid="{63362842-230E-4FD6-AEC3-8A9AE39D73B2}" name="Échéance" dataDxfId="11"/>
    <tableColumn id="4" xr3:uid="{68853284-FA23-4E9A-AFAA-E2C6680E4795}" name="Retard (jours)" dataDxfId="10"/>
    <tableColumn id="5" xr3:uid="{2ACF9CB1-876D-4C9D-90BC-EB24C7E5C014}" name="Solde" dataDxfId="9"/>
    <tableColumn id="6" xr3:uid="{E31DB7E1-C4D3-46FA-9196-A5E8C1DC5C45}" name="Relance" dataDxfId="8"/>
    <tableColumn id="7" xr3:uid="{C19D59F0-EAF9-42B2-B893-93628BC6A854}" name="Télephone" dataDxfId="7"/>
    <tableColumn id="8" xr3:uid="{15B4B5DE-58D7-406E-B48D-547C549A7D21}" name="Email" dataDxfId="6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38D070-4666-46BC-A9EA-36FF0AB2F208}" name="listeClients" displayName="listeClients" ref="C5:F19" totalsRowShown="0" headerRowDxfId="24" dataDxfId="23">
  <autoFilter ref="C5:F19" xr:uid="{B038D070-4666-46BC-A9EA-36FF0AB2F208}"/>
  <tableColumns count="4">
    <tableColumn id="1" xr3:uid="{A1711C94-F7AE-48A6-B345-0F9DF2193E59}" name="Noms" dataDxfId="22"/>
    <tableColumn id="2" xr3:uid="{ECF5BBB2-731C-48EB-BCA8-B2B01EEDEBD5}" name="Téléphone" dataDxfId="21"/>
    <tableColumn id="3" xr3:uid="{FDC1E7F5-6AEE-416E-A045-B577D1596F06}" name="Adresse" dataDxfId="20"/>
    <tableColumn id="4" xr3:uid="{8F4AAB57-79E0-4F23-B2B0-80FFF05BDCA5}" name="Email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guillaume.thimothe@email.com" TargetMode="External"/><Relationship Id="rId13" Type="http://schemas.openxmlformats.org/officeDocument/2006/relationships/hyperlink" Target="mailto:magalie.harold@email.com" TargetMode="External"/><Relationship Id="rId3" Type="http://schemas.openxmlformats.org/officeDocument/2006/relationships/hyperlink" Target="mailto:gracia.cestin@email.com@email.com" TargetMode="External"/><Relationship Id="rId7" Type="http://schemas.openxmlformats.org/officeDocument/2006/relationships/hyperlink" Target="mailto:eddy.luckecy@email.com" TargetMode="External"/><Relationship Id="rId12" Type="http://schemas.openxmlformats.org/officeDocument/2006/relationships/hyperlink" Target="mailto:senophat.benjamin@email.com" TargetMode="External"/><Relationship Id="rId2" Type="http://schemas.openxmlformats.org/officeDocument/2006/relationships/hyperlink" Target="mailto:emmanuel.edgardo@email.com" TargetMode="External"/><Relationship Id="rId1" Type="http://schemas.openxmlformats.org/officeDocument/2006/relationships/hyperlink" Target="mailto:mathieu.bernard@email.com" TargetMode="External"/><Relationship Id="rId6" Type="http://schemas.openxmlformats.org/officeDocument/2006/relationships/hyperlink" Target="mailto:olivier.louis@email.com" TargetMode="External"/><Relationship Id="rId11" Type="http://schemas.openxmlformats.org/officeDocument/2006/relationships/hyperlink" Target="mailto:roland.dely@email.com" TargetMode="External"/><Relationship Id="rId5" Type="http://schemas.openxmlformats.org/officeDocument/2006/relationships/hyperlink" Target="mailto:pauline.lamoth@email.com" TargetMode="External"/><Relationship Id="rId15" Type="http://schemas.openxmlformats.org/officeDocument/2006/relationships/table" Target="../tables/table4.xml"/><Relationship Id="rId10" Type="http://schemas.openxmlformats.org/officeDocument/2006/relationships/hyperlink" Target="mailto:fedline.joseph@email.com" TargetMode="External"/><Relationship Id="rId4" Type="http://schemas.openxmlformats.org/officeDocument/2006/relationships/hyperlink" Target="mailto:louinord.joseph@email.com" TargetMode="External"/><Relationship Id="rId9" Type="http://schemas.openxmlformats.org/officeDocument/2006/relationships/hyperlink" Target="mailto:anne.marquant@email.com" TargetMode="External"/><Relationship Id="rId14" Type="http://schemas.openxmlformats.org/officeDocument/2006/relationships/hyperlink" Target="mailto:laurianne.fleur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775A2-5481-418E-838F-EECE162B491F}">
  <sheetPr codeName="Feuil1"/>
  <dimension ref="B2:R31"/>
  <sheetViews>
    <sheetView zoomScale="90" zoomScaleNormal="90" workbookViewId="0">
      <selection activeCell="B9" sqref="B9"/>
    </sheetView>
  </sheetViews>
  <sheetFormatPr baseColWidth="10" defaultRowHeight="15" x14ac:dyDescent="0.25"/>
  <cols>
    <col min="1" max="1" width="11.42578125" style="1"/>
    <col min="2" max="2" width="5.7109375" style="1" customWidth="1"/>
    <col min="3" max="3" width="19.7109375" style="1" customWidth="1"/>
    <col min="4" max="4" width="18.28515625" style="1" customWidth="1"/>
    <col min="5" max="5" width="22.7109375" style="1" customWidth="1"/>
    <col min="6" max="6" width="22.7109375" style="1" bestFit="1" customWidth="1"/>
    <col min="7" max="7" width="20.42578125" style="1" bestFit="1" customWidth="1"/>
    <col min="8" max="8" width="17.5703125" style="1" customWidth="1"/>
    <col min="9" max="9" width="21.5703125" style="1" customWidth="1"/>
    <col min="10" max="10" width="18.28515625" style="1" customWidth="1"/>
    <col min="11" max="11" width="18.85546875" style="1" customWidth="1"/>
    <col min="12" max="12" width="28.85546875" style="1" customWidth="1"/>
    <col min="13" max="13" width="30.28515625" style="1" customWidth="1"/>
    <col min="14" max="14" width="26" style="1" customWidth="1"/>
    <col min="15" max="15" width="24.42578125" style="1" customWidth="1"/>
    <col min="16" max="16" width="24" style="1" customWidth="1"/>
    <col min="17" max="17" width="14.42578125" style="1" customWidth="1"/>
    <col min="18" max="16384" width="11.42578125" style="1"/>
  </cols>
  <sheetData>
    <row r="2" spans="2:18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2:18" x14ac:dyDescent="0.2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8" ht="19.5" x14ac:dyDescent="0.25">
      <c r="B4" s="3"/>
      <c r="C4" s="37" t="s">
        <v>7</v>
      </c>
      <c r="D4" s="37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</row>
    <row r="5" spans="2:18" x14ac:dyDescent="0.25">
      <c r="B5" s="3"/>
      <c r="C5" s="38" t="s">
        <v>0</v>
      </c>
      <c r="D5" s="38"/>
      <c r="E5" s="38"/>
      <c r="F5" s="38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2:18" x14ac:dyDescent="0.25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2:18" ht="16.5" x14ac:dyDescent="0.25">
      <c r="B7" s="3"/>
      <c r="C7" s="3"/>
      <c r="D7" s="10" t="s">
        <v>1</v>
      </c>
      <c r="E7" s="11"/>
      <c r="F7" s="9" t="s">
        <v>5</v>
      </c>
      <c r="G7" s="12"/>
      <c r="H7" s="19" t="s">
        <v>4</v>
      </c>
      <c r="I7" s="11"/>
      <c r="J7" s="3"/>
      <c r="K7" s="3"/>
      <c r="L7" s="3"/>
      <c r="M7" s="3"/>
      <c r="N7" s="3"/>
      <c r="O7" s="3"/>
      <c r="P7" s="3"/>
      <c r="Q7" s="3"/>
    </row>
    <row r="8" spans="2:18" ht="16.5" x14ac:dyDescent="0.25">
      <c r="B8" s="3"/>
      <c r="C8" s="3"/>
      <c r="D8" s="10" t="s">
        <v>2</v>
      </c>
      <c r="E8" s="11"/>
      <c r="F8" s="9" t="s">
        <v>6</v>
      </c>
      <c r="G8" s="13"/>
      <c r="H8" s="3"/>
      <c r="I8" s="3"/>
      <c r="J8" s="3"/>
      <c r="K8" s="3"/>
      <c r="L8" s="3"/>
      <c r="M8" s="3"/>
      <c r="N8" s="3"/>
      <c r="O8" s="3"/>
      <c r="P8" s="3"/>
      <c r="Q8" s="3"/>
    </row>
    <row r="9" spans="2:18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</row>
    <row r="10" spans="2:18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</row>
    <row r="11" spans="2:18" ht="19.5" x14ac:dyDescent="0.25">
      <c r="B11" s="3"/>
      <c r="C11" s="40" t="s">
        <v>89</v>
      </c>
      <c r="D11" s="40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</row>
    <row r="12" spans="2:18" ht="18.95" customHeight="1" x14ac:dyDescent="0.25">
      <c r="B12" s="3"/>
      <c r="C12" s="5" t="s">
        <v>1</v>
      </c>
      <c r="D12" s="5" t="s">
        <v>5</v>
      </c>
      <c r="E12" s="5" t="s">
        <v>4</v>
      </c>
      <c r="F12" s="5" t="s">
        <v>63</v>
      </c>
      <c r="G12" s="5" t="s">
        <v>3</v>
      </c>
      <c r="H12" s="5" t="s">
        <v>64</v>
      </c>
      <c r="I12" s="5" t="s">
        <v>65</v>
      </c>
      <c r="J12" s="5" t="s">
        <v>66</v>
      </c>
      <c r="K12" s="5" t="s">
        <v>67</v>
      </c>
      <c r="L12" s="5" t="s">
        <v>68</v>
      </c>
      <c r="M12" s="5" t="s">
        <v>69</v>
      </c>
      <c r="N12" s="5" t="s">
        <v>70</v>
      </c>
      <c r="O12" s="5" t="s">
        <v>71</v>
      </c>
      <c r="P12" s="5" t="s">
        <v>72</v>
      </c>
      <c r="Q12" s="5" t="s">
        <v>73</v>
      </c>
      <c r="R12" s="3"/>
    </row>
    <row r="13" spans="2:18" ht="18.95" customHeight="1" x14ac:dyDescent="0.25">
      <c r="B13" s="3"/>
      <c r="C13" s="14" t="s">
        <v>76</v>
      </c>
      <c r="D13" s="21">
        <v>46215</v>
      </c>
      <c r="E13" s="14" t="s">
        <v>16</v>
      </c>
      <c r="F13" s="14">
        <v>10</v>
      </c>
      <c r="G13" s="22">
        <v>400</v>
      </c>
      <c r="H13" s="16"/>
      <c r="I13" s="18">
        <f>listeCréance[[#This Row],[Montant Facturé]]-listeCréance[[#This Row],[Montant encaissé]]</f>
        <v>400</v>
      </c>
      <c r="J13" s="17">
        <f>listeCréance[[#This Row],[Date d''émission]]+listeCréance[[#This Row],[Délai de règlement]]</f>
        <v>46225</v>
      </c>
      <c r="K13" s="16"/>
      <c r="L13" s="15" t="str">
        <f>IF(listeCréance[[#This Row],[Retard]]="","Payéé",IF(listeCréance[[#This Row],[Retard]]&lt;=0,"Non échue",IF(listeCréance[[#This Row],[Retard]]&lt;=30,"Echue[1,30]",IF(listeCréance[[#This Row],[Retard]]&lt;=60,"Echue[31,60]",IF(listeCréance[[#This Row],[Retard]]&lt;=90,"Echue[61,90]","Echue&gt;90")))))</f>
        <v>Payéé</v>
      </c>
      <c r="M13" s="15" t="str">
        <f>IF(listeCréance[[#This Row],[Retard]]="","",IF(listeCréance[[#This Row],[Retard]]&lt;15,"",IF(AND(listeCréance[[#This Row],[Retard]]&gt;=15,listeCréance[[#This Row],[Retard]]&lt;30,listeCréance[[#This Row],[Relance 1]]=""),"Relance 1",IF(AND(listeCréance[[#This Row],[Retard]]&gt;=30,listeCréance[[#This Row],[Retard]]&lt;45,listeCréance[[#This Row],[Relance 2]]=""),"Relance 2",IF(AND(listeCréance[[#This Row],[Retard]]&gt;=45,listeCréance[[#This Row],[Retard]]&lt;60,listeCréance[[#This Row],[Relance 3]]=""),"Relance 3",IF(AND(listeCréance[[#This Row],[Retard]]&gt;=60,listeCréance[[#This Row],[Retard]]&lt;90),"Mise en demeure",IF(AND(listeCréance[[#This Row],[Retard]]&gt;=90,listeCréance[[#This Row],[Retard]]&lt;10000),"Contentieux","")))))))</f>
        <v/>
      </c>
      <c r="N13" s="15"/>
      <c r="O13" s="17"/>
      <c r="P13" s="17"/>
      <c r="Q13" s="17"/>
      <c r="R13" s="3"/>
    </row>
    <row r="14" spans="2:18" ht="18.95" customHeight="1" x14ac:dyDescent="0.25">
      <c r="B14" s="3"/>
      <c r="C14" s="14" t="s">
        <v>77</v>
      </c>
      <c r="D14" s="21">
        <v>46216</v>
      </c>
      <c r="E14" s="14" t="s">
        <v>17</v>
      </c>
      <c r="F14" s="14">
        <v>40</v>
      </c>
      <c r="G14" s="22">
        <v>300</v>
      </c>
      <c r="H14" s="16"/>
      <c r="I14" s="18">
        <f>listeCréance[[#This Row],[Montant Facturé]]-listeCréance[[#This Row],[Montant encaissé]]</f>
        <v>300</v>
      </c>
      <c r="J14" s="17">
        <f>listeCréance[[#This Row],[Date d''émission]]+listeCréance[[#This Row],[Délai de règlement]]</f>
        <v>46256</v>
      </c>
      <c r="K14" s="16">
        <f ca="1">IF(listeCréance[[#This Row],[Solde]]=0,"",TODAY()-listeCréance[[#This Row],[Échéance]])</f>
        <v>-23</v>
      </c>
      <c r="L14" s="15" t="str">
        <f ca="1">IF(listeCréance[[#This Row],[Retard]]="","Payéé",IF(listeCréance[[#This Row],[Retard]]&lt;=0,"Non échue",IF(listeCréance[[#This Row],[Retard]]&lt;=30,"Echue[1,30]",IF(listeCréance[[#This Row],[Retard]]&lt;=60,"Echue[31,60]",IF(listeCréance[[#This Row],[Retard]]&lt;=90,"Echue[61,90]","Echue&gt;90")))))</f>
        <v>Non échue</v>
      </c>
      <c r="M14" s="15" t="str">
        <f ca="1">IF(listeCréance[[#This Row],[Retard]]="","",IF(listeCréance[[#This Row],[Retard]]&lt;15,"",IF(AND(listeCréance[[#This Row],[Retard]]&gt;=15,listeCréance[[#This Row],[Retard]]&lt;30,listeCréance[[#This Row],[Relance 1]]=""),"Relance 1",IF(AND(listeCréance[[#This Row],[Retard]]&gt;=30,listeCréance[[#This Row],[Retard]]&lt;45,listeCréance[[#This Row],[Relance 2]]=""),"Relance 2",IF(AND(listeCréance[[#This Row],[Retard]]&gt;=45,listeCréance[[#This Row],[Retard]]&lt;60,listeCréance[[#This Row],[Relance 3]]=""),"Relance 3",IF(AND(listeCréance[[#This Row],[Retard]]&gt;=60,listeCréance[[#This Row],[Retard]]&lt;90),"Mise en demeure",IF(AND(listeCréance[[#This Row],[Retard]]&gt;=90,listeCréance[[#This Row],[Retard]]&lt;10000),"Contentieux","")))))))</f>
        <v/>
      </c>
      <c r="N14" s="15"/>
      <c r="O14" s="17"/>
      <c r="P14" s="17"/>
      <c r="Q14" s="17"/>
    </row>
    <row r="15" spans="2:18" ht="18.95" customHeight="1" x14ac:dyDescent="0.25">
      <c r="B15" s="3"/>
      <c r="C15" s="14" t="s">
        <v>78</v>
      </c>
      <c r="D15" s="21">
        <v>46243</v>
      </c>
      <c r="E15" s="14" t="s">
        <v>22</v>
      </c>
      <c r="F15" s="14">
        <v>10</v>
      </c>
      <c r="G15" s="22">
        <v>150</v>
      </c>
      <c r="H15" s="16"/>
      <c r="I15" s="18">
        <f>listeCréance[[#This Row],[Montant Facturé]]-listeCréance[[#This Row],[Montant encaissé]]</f>
        <v>150</v>
      </c>
      <c r="J15" s="17">
        <f>listeCréance[[#This Row],[Date d''émission]]+listeCréance[[#This Row],[Délai de règlement]]</f>
        <v>46253</v>
      </c>
      <c r="K15" s="16">
        <f ca="1">IF(listeCréance[[#This Row],[Solde]]=0,"",TODAY()-listeCréance[[#This Row],[Échéance]])</f>
        <v>-20</v>
      </c>
      <c r="L15" s="15" t="str">
        <f ca="1">IF(listeCréance[[#This Row],[Retard]]="","Payéé",IF(listeCréance[[#This Row],[Retard]]&lt;=0,"Non échue",IF(listeCréance[[#This Row],[Retard]]&lt;=30,"Echue[1,30]",IF(listeCréance[[#This Row],[Retard]]&lt;=60,"Echue[31,60]",IF(listeCréance[[#This Row],[Retard]]&lt;=90,"Echue[61,90]","Echue&gt;90")))))</f>
        <v>Non échue</v>
      </c>
      <c r="M15" s="15" t="str">
        <f ca="1">IF(listeCréance[[#This Row],[Retard]]="","",IF(listeCréance[[#This Row],[Retard]]&lt;15,"",IF(AND(listeCréance[[#This Row],[Retard]]&gt;=15,listeCréance[[#This Row],[Retard]]&lt;30,listeCréance[[#This Row],[Relance 1]]=""),"Relance 1",IF(AND(listeCréance[[#This Row],[Retard]]&gt;=30,listeCréance[[#This Row],[Retard]]&lt;45,listeCréance[[#This Row],[Relance 2]]=""),"Relance 2",IF(AND(listeCréance[[#This Row],[Retard]]&gt;=45,listeCréance[[#This Row],[Retard]]&lt;60,listeCréance[[#This Row],[Relance 3]]=""),"Relance 3",IF(AND(listeCréance[[#This Row],[Retard]]&gt;=60,listeCréance[[#This Row],[Retard]]&lt;90),"Mise en demeure",IF(AND(listeCréance[[#This Row],[Retard]]&gt;=90,listeCréance[[#This Row],[Retard]]&lt;10000),"Contentieux","")))))))</f>
        <v/>
      </c>
      <c r="N15" s="15"/>
      <c r="O15" s="17"/>
      <c r="P15" s="17"/>
      <c r="Q15" s="17"/>
    </row>
    <row r="16" spans="2:18" ht="16.5" x14ac:dyDescent="0.25">
      <c r="B16" s="3"/>
      <c r="C16" s="14" t="s">
        <v>94</v>
      </c>
      <c r="D16" s="21">
        <v>46115</v>
      </c>
      <c r="E16" s="14" t="s">
        <v>18</v>
      </c>
      <c r="F16" s="14">
        <v>10</v>
      </c>
      <c r="G16" s="22">
        <v>400</v>
      </c>
      <c r="H16" s="16"/>
      <c r="I16" s="18">
        <f>listeCréance[[#This Row],[Montant Facturé]]-listeCréance[[#This Row],[Montant encaissé]]</f>
        <v>400</v>
      </c>
      <c r="J16" s="17">
        <f>listeCréance[[#This Row],[Date d''émission]]+listeCréance[[#This Row],[Délai de règlement]]</f>
        <v>46125</v>
      </c>
      <c r="K16" s="16">
        <f ca="1">IF(listeCréance[[#This Row],[Solde]]=0,"",TODAY()-listeCréance[[#This Row],[Échéance]])</f>
        <v>108</v>
      </c>
      <c r="L16" s="15" t="str">
        <f ca="1">IF(listeCréance[[#This Row],[Retard]]="","Payéé",IF(listeCréance[[#This Row],[Retard]]&lt;=0,"Non échue",IF(listeCréance[[#This Row],[Retard]]&lt;=30,"Echue[1,30]",IF(listeCréance[[#This Row],[Retard]]&lt;=60,"Echue[31,60]",IF(listeCréance[[#This Row],[Retard]]&lt;=90,"Echue[61,90]","Echue&gt;90")))))</f>
        <v>Echue&gt;90</v>
      </c>
      <c r="M16" s="15" t="str">
        <f ca="1">IF(listeCréance[[#This Row],[Retard]]="","",IF(listeCréance[[#This Row],[Retard]]&lt;15,"",IF(AND(listeCréance[[#This Row],[Retard]]&gt;=15,listeCréance[[#This Row],[Retard]]&lt;30,listeCréance[[#This Row],[Relance 1]]=""),"Relance 1",IF(AND(listeCréance[[#This Row],[Retard]]&gt;=30,listeCréance[[#This Row],[Retard]]&lt;45,listeCréance[[#This Row],[Relance 2]]=""),"Relance 2",IF(AND(listeCréance[[#This Row],[Retard]]&gt;=45,listeCréance[[#This Row],[Retard]]&lt;60,listeCréance[[#This Row],[Relance 3]]=""),"Relance 3",IF(AND(listeCréance[[#This Row],[Retard]]&gt;=60,listeCréance[[#This Row],[Retard]]&lt;90),"Mise en demeure",IF(AND(listeCréance[[#This Row],[Retard]]&gt;=90,listeCréance[[#This Row],[Retard]]&lt;10000),"Contentieux","")))))))</f>
        <v>Contentieux</v>
      </c>
      <c r="N16" s="15"/>
      <c r="O16" s="17"/>
      <c r="P16" s="17"/>
      <c r="Q16" s="17"/>
    </row>
    <row r="17" spans="2:17" ht="16.5" x14ac:dyDescent="0.25">
      <c r="B17" s="3"/>
      <c r="C17" s="14" t="s">
        <v>94</v>
      </c>
      <c r="D17" s="21">
        <v>46233</v>
      </c>
      <c r="E17" s="14" t="s">
        <v>21</v>
      </c>
      <c r="F17" s="14">
        <v>10</v>
      </c>
      <c r="G17" s="22">
        <v>200</v>
      </c>
      <c r="H17" s="16"/>
      <c r="I17" s="18">
        <f>listeCréance[[#This Row],[Montant Facturé]]-listeCréance[[#This Row],[Montant encaissé]]</f>
        <v>200</v>
      </c>
      <c r="J17" s="17">
        <f>listeCréance[[#This Row],[Date d''émission]]+listeCréance[[#This Row],[Délai de règlement]]</f>
        <v>46243</v>
      </c>
      <c r="K17" s="16">
        <f ca="1">IF(listeCréance[[#This Row],[Solde]]=0,"",TODAY()-listeCréance[[#This Row],[Échéance]])</f>
        <v>-10</v>
      </c>
      <c r="L17" s="15" t="str">
        <f ca="1">IF(listeCréance[[#This Row],[Retard]]="","Payéé",IF(listeCréance[[#This Row],[Retard]]&lt;=0,"Non échue",IF(listeCréance[[#This Row],[Retard]]&lt;=30,"Echue[1,30]",IF(listeCréance[[#This Row],[Retard]]&lt;=60,"Echue[31,60]",IF(listeCréance[[#This Row],[Retard]]&lt;=90,"Echue[61,90]","Echue&gt;90")))))</f>
        <v>Non échue</v>
      </c>
      <c r="M17" s="15" t="str">
        <f ca="1">IF(listeCréance[[#This Row],[Retard]]="","",IF(listeCréance[[#This Row],[Retard]]&lt;15,"",IF(AND(listeCréance[[#This Row],[Retard]]&gt;=15,listeCréance[[#This Row],[Retard]]&lt;30,listeCréance[[#This Row],[Relance 1]]=""),"Relance 1",IF(AND(listeCréance[[#This Row],[Retard]]&gt;=30,listeCréance[[#This Row],[Retard]]&lt;45,listeCréance[[#This Row],[Relance 2]]=""),"Relance 2",IF(AND(listeCréance[[#This Row],[Retard]]&gt;=45,listeCréance[[#This Row],[Retard]]&lt;60,listeCréance[[#This Row],[Relance 3]]=""),"Relance 3",IF(AND(listeCréance[[#This Row],[Retard]]&gt;=60,listeCréance[[#This Row],[Retard]]&lt;90),"Mise en demeure",IF(AND(listeCréance[[#This Row],[Retard]]&gt;=90,listeCréance[[#This Row],[Retard]]&lt;10000),"Contentieux","")))))))</f>
        <v/>
      </c>
      <c r="N17" s="15"/>
      <c r="O17" s="17"/>
      <c r="P17" s="17"/>
      <c r="Q17" s="17"/>
    </row>
    <row r="18" spans="2:17" ht="16.5" x14ac:dyDescent="0.25">
      <c r="B18" s="3"/>
      <c r="C18" s="14" t="s">
        <v>95</v>
      </c>
      <c r="D18" s="21">
        <v>46215</v>
      </c>
      <c r="E18" s="14" t="s">
        <v>20</v>
      </c>
      <c r="F18" s="14">
        <v>10</v>
      </c>
      <c r="G18" s="22">
        <v>200</v>
      </c>
      <c r="H18" s="16"/>
      <c r="I18" s="18">
        <f>listeCréance[[#This Row],[Montant Facturé]]-listeCréance[[#This Row],[Montant encaissé]]</f>
        <v>200</v>
      </c>
      <c r="J18" s="17">
        <f>listeCréance[[#This Row],[Date d''émission]]+listeCréance[[#This Row],[Délai de règlement]]</f>
        <v>46225</v>
      </c>
      <c r="K18" s="16">
        <f ca="1">IF(listeCréance[[#This Row],[Solde]]=0,"",TODAY()-listeCréance[[#This Row],[Échéance]])</f>
        <v>8</v>
      </c>
      <c r="L18" s="15" t="str">
        <f ca="1">IF(listeCréance[[#This Row],[Retard]]="","Payéé",IF(listeCréance[[#This Row],[Retard]]&lt;=0,"Non échue",IF(listeCréance[[#This Row],[Retard]]&lt;=30,"Echue[1,30]",IF(listeCréance[[#This Row],[Retard]]&lt;=60,"Echue[31,60]",IF(listeCréance[[#This Row],[Retard]]&lt;=90,"Echue[61,90]","Echue&gt;90")))))</f>
        <v>Echue[1,30]</v>
      </c>
      <c r="M18" s="15" t="str">
        <f ca="1">IF(listeCréance[[#This Row],[Retard]]="","",IF(listeCréance[[#This Row],[Retard]]&lt;15,"",IF(AND(listeCréance[[#This Row],[Retard]]&gt;=15,listeCréance[[#This Row],[Retard]]&lt;30,listeCréance[[#This Row],[Relance 1]]=""),"Relance 1",IF(AND(listeCréance[[#This Row],[Retard]]&gt;=30,listeCréance[[#This Row],[Retard]]&lt;45,listeCréance[[#This Row],[Relance 2]]=""),"Relance 2",IF(AND(listeCréance[[#This Row],[Retard]]&gt;=45,listeCréance[[#This Row],[Retard]]&lt;60,listeCréance[[#This Row],[Relance 3]]=""),"Relance 3",IF(AND(listeCréance[[#This Row],[Retard]]&gt;=60,listeCréance[[#This Row],[Retard]]&lt;90),"Mise en demeure",IF(AND(listeCréance[[#This Row],[Retard]]&gt;=90,listeCréance[[#This Row],[Retard]]&lt;10000),"Contentieux","")))))))</f>
        <v/>
      </c>
      <c r="N18" s="15"/>
      <c r="O18" s="17"/>
      <c r="P18" s="17"/>
      <c r="Q18" s="17"/>
    </row>
    <row r="19" spans="2:17" ht="16.5" x14ac:dyDescent="0.25">
      <c r="B19" s="3"/>
      <c r="C19" s="14" t="s">
        <v>96</v>
      </c>
      <c r="D19" s="21">
        <v>46205</v>
      </c>
      <c r="E19" s="14" t="s">
        <v>12</v>
      </c>
      <c r="F19" s="14">
        <v>6</v>
      </c>
      <c r="G19" s="22">
        <v>100</v>
      </c>
      <c r="H19" s="16"/>
      <c r="I19" s="18">
        <f>listeCréance[[#This Row],[Montant Facturé]]-listeCréance[[#This Row],[Montant encaissé]]</f>
        <v>100</v>
      </c>
      <c r="J19" s="17">
        <f>listeCréance[[#This Row],[Date d''émission]]+listeCréance[[#This Row],[Délai de règlement]]</f>
        <v>46211</v>
      </c>
      <c r="K19" s="16">
        <f ca="1">IF(listeCréance[[#This Row],[Solde]]=0,"",TODAY()-listeCréance[[#This Row],[Échéance]])</f>
        <v>22</v>
      </c>
      <c r="L19" s="45" t="str">
        <f ca="1">IF(listeCréance[[#This Row],[Retard]]="","Payéé",IF(listeCréance[[#This Row],[Retard]]&lt;=0,"Non échue",IF(listeCréance[[#This Row],[Retard]]&lt;=30,"Echue[1,30]",IF(listeCréance[[#This Row],[Retard]]&lt;=60,"Echue[31,60]",IF(listeCréance[[#This Row],[Retard]]&lt;=90,"Echue[61,90]","Echue&gt;90")))))</f>
        <v>Echue[1,30]</v>
      </c>
      <c r="M19" s="45" t="str">
        <f ca="1">IF(listeCréance[[#This Row],[Retard]]="","",IF(listeCréance[[#This Row],[Retard]]&lt;15,"",IF(AND(listeCréance[[#This Row],[Retard]]&gt;=15,listeCréance[[#This Row],[Retard]]&lt;30,listeCréance[[#This Row],[Relance 1]]=""),"Relance 1",IF(AND(listeCréance[[#This Row],[Retard]]&gt;=30,listeCréance[[#This Row],[Retard]]&lt;45,listeCréance[[#This Row],[Relance 2]]=""),"Relance 2",IF(AND(listeCréance[[#This Row],[Retard]]&gt;=45,listeCréance[[#This Row],[Retard]]&lt;60,listeCréance[[#This Row],[Relance 3]]=""),"Relance 3",IF(AND(listeCréance[[#This Row],[Retard]]&gt;=60,listeCréance[[#This Row],[Retard]]&lt;90),"Mise en demeure",IF(AND(listeCréance[[#This Row],[Retard]]&gt;=90,listeCréance[[#This Row],[Retard]]&lt;10000),"Contentieux","")))))))</f>
        <v>Relance 1</v>
      </c>
      <c r="N19" s="15"/>
      <c r="O19" s="17"/>
      <c r="P19" s="17"/>
      <c r="Q19" s="17"/>
    </row>
    <row r="20" spans="2:17" x14ac:dyDescent="0.2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</row>
    <row r="21" spans="2:17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</row>
    <row r="22" spans="2:17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2:17" x14ac:dyDescent="0.2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2:17" x14ac:dyDescent="0.25"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2:17" x14ac:dyDescent="0.25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2:17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2:17" x14ac:dyDescent="0.2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2:17" x14ac:dyDescent="0.2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2:17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2:17" x14ac:dyDescent="0.25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2:17" x14ac:dyDescent="0.25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</sheetData>
  <mergeCells count="3">
    <mergeCell ref="C4:D4"/>
    <mergeCell ref="C5:F5"/>
    <mergeCell ref="C11:D11"/>
  </mergeCells>
  <conditionalFormatting sqref="K13:K19">
    <cfRule type="cellIs" dxfId="5" priority="1" operator="greaterThan">
      <formula>30</formula>
    </cfRule>
    <cfRule type="cellIs" dxfId="4" priority="2" operator="equal">
      <formula>""</formula>
    </cfRule>
    <cfRule type="cellIs" dxfId="3" priority="3" operator="lessThan">
      <formula>0</formula>
    </cfRule>
    <cfRule type="cellIs" dxfId="2" priority="4" operator="lessThan">
      <formula>0</formula>
    </cfRule>
    <cfRule type="cellIs" dxfId="1" priority="5" operator="greaterThan">
      <formula>0</formula>
    </cfRule>
    <cfRule type="cellIs" dxfId="0" priority="6" operator="lessThan">
      <formula>0</formula>
    </cfRule>
  </conditionalFormatting>
  <dataValidations count="1">
    <dataValidation type="list" allowBlank="1" showInputMessage="1" showErrorMessage="1" sqref="I7 E13:E19" xr:uid="{2F1481F2-8167-4DB6-B5D1-DE0A73F6AC22}">
      <formula1>INDIRECT("listeClients[Noms]")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CE9B-715D-404C-BAA4-7E713EA2EBED}">
  <sheetPr codeName="Feuil2"/>
  <dimension ref="B2:I30"/>
  <sheetViews>
    <sheetView zoomScale="90" zoomScaleNormal="90" workbookViewId="0">
      <selection activeCell="B10" sqref="B10"/>
    </sheetView>
  </sheetViews>
  <sheetFormatPr baseColWidth="10" defaultRowHeight="15" x14ac:dyDescent="0.25"/>
  <cols>
    <col min="1" max="1" width="11.42578125" style="1"/>
    <col min="2" max="2" width="5.7109375" style="1" customWidth="1"/>
    <col min="3" max="3" width="15.7109375" style="1" customWidth="1"/>
    <col min="4" max="4" width="21.85546875" style="1" customWidth="1"/>
    <col min="5" max="5" width="24.140625" style="1" customWidth="1"/>
    <col min="6" max="6" width="26" style="1" customWidth="1"/>
    <col min="7" max="7" width="20.42578125" style="1" bestFit="1" customWidth="1"/>
    <col min="8" max="8" width="22" style="1" bestFit="1" customWidth="1"/>
    <col min="9" max="9" width="14" style="1" customWidth="1"/>
    <col min="10" max="16384" width="11.42578125" style="1"/>
  </cols>
  <sheetData>
    <row r="2" spans="2:9" x14ac:dyDescent="0.25">
      <c r="B2" s="3"/>
      <c r="C2" s="3"/>
      <c r="D2" s="3"/>
      <c r="E2" s="3"/>
      <c r="F2" s="3"/>
      <c r="G2" s="3"/>
      <c r="H2" s="3"/>
      <c r="I2" s="3"/>
    </row>
    <row r="3" spans="2:9" x14ac:dyDescent="0.25">
      <c r="B3" s="3"/>
      <c r="C3" s="3"/>
      <c r="D3" s="3"/>
      <c r="E3" s="3"/>
      <c r="F3" s="3"/>
      <c r="G3" s="3"/>
      <c r="H3" s="3"/>
      <c r="I3" s="3"/>
    </row>
    <row r="4" spans="2:9" ht="19.5" x14ac:dyDescent="0.25">
      <c r="B4" s="3"/>
      <c r="C4" s="37" t="s">
        <v>79</v>
      </c>
      <c r="D4" s="37"/>
      <c r="E4" s="3"/>
      <c r="F4" s="3"/>
      <c r="G4" s="3"/>
      <c r="H4" s="3"/>
      <c r="I4" s="3"/>
    </row>
    <row r="5" spans="2:9" x14ac:dyDescent="0.25">
      <c r="B5" s="3"/>
      <c r="C5" s="38" t="s">
        <v>80</v>
      </c>
      <c r="D5" s="38"/>
      <c r="E5" s="38"/>
      <c r="F5" s="38"/>
      <c r="G5" s="3"/>
      <c r="H5" s="3"/>
      <c r="I5" s="3"/>
    </row>
    <row r="6" spans="2:9" x14ac:dyDescent="0.25">
      <c r="B6" s="3"/>
      <c r="C6" s="3"/>
      <c r="D6" s="3"/>
      <c r="E6" s="3"/>
      <c r="F6" s="3"/>
      <c r="G6" s="3"/>
      <c r="H6" s="3"/>
      <c r="I6" s="3"/>
    </row>
    <row r="7" spans="2:9" x14ac:dyDescent="0.25">
      <c r="B7" s="3"/>
      <c r="C7" s="3"/>
      <c r="D7" s="3"/>
      <c r="E7" s="3"/>
      <c r="F7" s="3"/>
      <c r="G7" s="3"/>
      <c r="H7" s="3"/>
      <c r="I7" s="3"/>
    </row>
    <row r="8" spans="2:9" ht="18.75" x14ac:dyDescent="0.25">
      <c r="B8" s="3"/>
      <c r="C8" s="23" t="s">
        <v>1</v>
      </c>
      <c r="D8" s="23"/>
      <c r="E8" s="36"/>
      <c r="F8" s="8" t="s">
        <v>82</v>
      </c>
      <c r="G8" s="29"/>
      <c r="H8" s="3"/>
      <c r="I8" s="3"/>
    </row>
    <row r="9" spans="2:9" ht="18.75" x14ac:dyDescent="0.25">
      <c r="B9" s="3"/>
      <c r="C9" s="25" t="s">
        <v>4</v>
      </c>
      <c r="D9" s="25"/>
      <c r="E9" s="27"/>
      <c r="F9" s="20" t="s">
        <v>83</v>
      </c>
      <c r="G9" s="26"/>
      <c r="H9" s="3"/>
      <c r="I9" s="3"/>
    </row>
    <row r="10" spans="2:9" ht="18.75" x14ac:dyDescent="0.25">
      <c r="B10" s="3"/>
      <c r="C10" s="25" t="s">
        <v>65</v>
      </c>
      <c r="D10" s="25"/>
      <c r="E10" s="28" t="str">
        <f>IFERROR(VLOOKUP(E8,listeCréance[],7,FALSE),"")</f>
        <v/>
      </c>
      <c r="F10" s="10" t="s">
        <v>64</v>
      </c>
      <c r="G10" s="28"/>
      <c r="H10" s="3"/>
      <c r="I10" s="3"/>
    </row>
    <row r="11" spans="2:9" ht="18.75" x14ac:dyDescent="0.25">
      <c r="B11" s="3"/>
      <c r="C11" s="24" t="s">
        <v>81</v>
      </c>
      <c r="D11" s="24"/>
      <c r="E11" s="26"/>
      <c r="F11" s="9" t="s">
        <v>84</v>
      </c>
      <c r="G11" s="26"/>
      <c r="H11" s="3"/>
      <c r="I11" s="3"/>
    </row>
    <row r="12" spans="2:9" ht="16.5" x14ac:dyDescent="0.25">
      <c r="B12" s="3"/>
      <c r="C12" s="3"/>
      <c r="D12" s="10"/>
      <c r="E12" s="11"/>
      <c r="F12" s="9"/>
      <c r="G12" s="13"/>
      <c r="H12" s="3"/>
      <c r="I12" s="3"/>
    </row>
    <row r="13" spans="2:9" ht="18" customHeight="1" x14ac:dyDescent="0.25">
      <c r="B13" s="3"/>
      <c r="C13" s="39"/>
      <c r="D13" s="39"/>
      <c r="E13" s="3"/>
      <c r="F13" s="3"/>
      <c r="G13" s="3"/>
      <c r="H13" s="3"/>
      <c r="I13" s="3"/>
    </row>
    <row r="14" spans="2:9" ht="19.5" x14ac:dyDescent="0.25">
      <c r="B14" s="3"/>
      <c r="C14" s="37" t="s">
        <v>85</v>
      </c>
      <c r="D14" s="37"/>
      <c r="E14" s="3"/>
      <c r="F14" s="3"/>
      <c r="G14" s="3"/>
      <c r="H14" s="3"/>
      <c r="I14" s="3"/>
    </row>
    <row r="15" spans="2:9" ht="18.95" customHeight="1" x14ac:dyDescent="0.25">
      <c r="B15" s="3"/>
      <c r="C15" s="5" t="s">
        <v>1</v>
      </c>
      <c r="D15" s="5" t="s">
        <v>4</v>
      </c>
      <c r="E15" s="5" t="s">
        <v>86</v>
      </c>
      <c r="F15" s="5" t="s">
        <v>83</v>
      </c>
      <c r="G15" s="5" t="s">
        <v>64</v>
      </c>
      <c r="H15" s="5" t="s">
        <v>84</v>
      </c>
      <c r="I15" s="3"/>
    </row>
    <row r="16" spans="2:9" ht="18.95" customHeight="1" x14ac:dyDescent="0.25">
      <c r="B16" s="3"/>
      <c r="C16" s="34" t="s">
        <v>77</v>
      </c>
      <c r="D16" s="35" t="s">
        <v>17</v>
      </c>
      <c r="E16" s="31">
        <v>46216</v>
      </c>
      <c r="F16" s="30" t="s">
        <v>87</v>
      </c>
      <c r="G16" s="32">
        <v>500</v>
      </c>
      <c r="H16" s="33" t="s">
        <v>88</v>
      </c>
      <c r="I16" s="3"/>
    </row>
    <row r="17" spans="2:9" ht="19.5" x14ac:dyDescent="0.25">
      <c r="B17" s="3"/>
      <c r="C17" s="34" t="s">
        <v>76</v>
      </c>
      <c r="D17" s="44" t="s">
        <v>16</v>
      </c>
      <c r="E17" s="31">
        <v>46207</v>
      </c>
      <c r="F17" s="30" t="s">
        <v>90</v>
      </c>
      <c r="G17" s="32">
        <v>400</v>
      </c>
      <c r="H17" s="33" t="s">
        <v>91</v>
      </c>
      <c r="I17" s="3"/>
    </row>
    <row r="18" spans="2:9" ht="19.5" x14ac:dyDescent="0.25">
      <c r="B18" s="3"/>
      <c r="C18" s="34" t="s">
        <v>78</v>
      </c>
      <c r="D18" s="44" t="s">
        <v>22</v>
      </c>
      <c r="E18" s="31">
        <v>46243</v>
      </c>
      <c r="F18" s="30" t="s">
        <v>92</v>
      </c>
      <c r="G18" s="32">
        <v>150</v>
      </c>
      <c r="H18" s="33" t="s">
        <v>93</v>
      </c>
      <c r="I18" s="3"/>
    </row>
    <row r="19" spans="2:9" x14ac:dyDescent="0.25">
      <c r="B19" s="3"/>
      <c r="C19" s="3"/>
      <c r="D19" s="3"/>
      <c r="E19" s="3"/>
      <c r="F19" s="3"/>
      <c r="G19" s="3"/>
      <c r="H19" s="3"/>
      <c r="I19" s="3"/>
    </row>
    <row r="20" spans="2:9" x14ac:dyDescent="0.25">
      <c r="B20" s="3"/>
      <c r="C20" s="3"/>
      <c r="D20" s="3"/>
      <c r="E20" s="3"/>
      <c r="F20" s="3"/>
      <c r="G20" s="3"/>
      <c r="H20" s="3"/>
      <c r="I20" s="3"/>
    </row>
    <row r="21" spans="2:9" x14ac:dyDescent="0.25">
      <c r="B21" s="3"/>
      <c r="C21" s="3"/>
      <c r="D21" s="3"/>
      <c r="E21" s="3"/>
      <c r="F21" s="3"/>
      <c r="G21" s="3"/>
      <c r="H21" s="3"/>
      <c r="I21" s="3"/>
    </row>
    <row r="22" spans="2:9" x14ac:dyDescent="0.25">
      <c r="B22" s="3"/>
      <c r="C22" s="3"/>
      <c r="D22" s="3"/>
      <c r="E22" s="3"/>
      <c r="F22" s="3"/>
      <c r="G22" s="3"/>
      <c r="H22" s="3"/>
      <c r="I22" s="3"/>
    </row>
    <row r="23" spans="2:9" x14ac:dyDescent="0.25">
      <c r="B23" s="3"/>
      <c r="C23" s="3"/>
      <c r="D23" s="3"/>
      <c r="E23" s="3"/>
      <c r="F23" s="3"/>
      <c r="G23" s="3"/>
      <c r="H23" s="3"/>
      <c r="I23" s="3"/>
    </row>
    <row r="24" spans="2:9" x14ac:dyDescent="0.25">
      <c r="B24" s="3"/>
      <c r="C24" s="3"/>
      <c r="D24" s="3"/>
      <c r="E24" s="3"/>
      <c r="F24" s="3"/>
      <c r="G24" s="3"/>
      <c r="H24" s="3"/>
      <c r="I24" s="3"/>
    </row>
    <row r="25" spans="2:9" x14ac:dyDescent="0.25">
      <c r="B25" s="3"/>
      <c r="C25" s="3"/>
      <c r="D25" s="3"/>
      <c r="E25" s="3"/>
      <c r="F25" s="3"/>
      <c r="G25" s="3"/>
      <c r="H25" s="3"/>
      <c r="I25" s="3"/>
    </row>
    <row r="26" spans="2:9" x14ac:dyDescent="0.25">
      <c r="B26" s="3"/>
      <c r="C26" s="3"/>
      <c r="D26" s="3"/>
      <c r="E26" s="3"/>
      <c r="F26" s="3"/>
      <c r="G26" s="3"/>
      <c r="H26" s="3"/>
      <c r="I26" s="3"/>
    </row>
    <row r="27" spans="2:9" x14ac:dyDescent="0.25">
      <c r="B27" s="3"/>
      <c r="C27" s="3"/>
      <c r="D27" s="3"/>
      <c r="E27" s="3"/>
      <c r="F27" s="3"/>
      <c r="G27" s="3"/>
      <c r="H27" s="3"/>
      <c r="I27" s="3"/>
    </row>
    <row r="28" spans="2:9" x14ac:dyDescent="0.25">
      <c r="B28" s="3"/>
      <c r="C28" s="3"/>
      <c r="D28" s="3"/>
      <c r="E28" s="3"/>
      <c r="F28" s="3"/>
      <c r="G28" s="3"/>
      <c r="H28" s="3"/>
      <c r="I28" s="3"/>
    </row>
    <row r="29" spans="2:9" x14ac:dyDescent="0.25">
      <c r="B29" s="3"/>
      <c r="C29" s="3"/>
      <c r="D29" s="3"/>
      <c r="E29" s="3"/>
      <c r="F29" s="3"/>
      <c r="G29" s="3"/>
      <c r="H29" s="3"/>
      <c r="I29" s="3"/>
    </row>
    <row r="30" spans="2:9" x14ac:dyDescent="0.25">
      <c r="B30" s="3"/>
      <c r="C30" s="3"/>
      <c r="D30" s="3"/>
      <c r="E30" s="3"/>
      <c r="F30" s="3"/>
      <c r="G30" s="3"/>
      <c r="H30" s="3"/>
      <c r="I30" s="3"/>
    </row>
  </sheetData>
  <mergeCells count="4">
    <mergeCell ref="C4:D4"/>
    <mergeCell ref="C5:F5"/>
    <mergeCell ref="C14:D14"/>
    <mergeCell ref="C13:D13"/>
  </mergeCells>
  <dataValidations count="1">
    <dataValidation type="list" allowBlank="1" showInputMessage="1" showErrorMessage="1" sqref="G11" xr:uid="{4443ADCE-39FC-4EE3-A74A-12C832B207BA}">
      <formula1>"Chèque, Virement, Espèce"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8E1BE-1326-4997-800C-F72E066D4A32}">
  <sheetPr codeName="Feuil3"/>
  <dimension ref="B1:L19"/>
  <sheetViews>
    <sheetView showGridLines="0" tabSelected="1" topLeftCell="B1" workbookViewId="0">
      <selection activeCell="K10" sqref="K10"/>
    </sheetView>
  </sheetViews>
  <sheetFormatPr baseColWidth="10" defaultRowHeight="15" x14ac:dyDescent="0.25"/>
  <cols>
    <col min="1" max="1" width="11.42578125" style="1"/>
    <col min="2" max="2" width="5.7109375" style="1" customWidth="1"/>
    <col min="3" max="3" width="15.7109375" style="1" customWidth="1"/>
    <col min="4" max="4" width="18.7109375" style="1" customWidth="1"/>
    <col min="5" max="5" width="24.140625" style="1" customWidth="1"/>
    <col min="6" max="6" width="18.42578125" style="1" customWidth="1"/>
    <col min="7" max="7" width="18" style="1" customWidth="1"/>
    <col min="8" max="8" width="20.5703125" style="1" customWidth="1"/>
    <col min="9" max="9" width="14" style="1" customWidth="1"/>
    <col min="10" max="10" width="12.7109375" style="3" bestFit="1" customWidth="1"/>
    <col min="11" max="11" width="20.28515625" style="3" customWidth="1"/>
    <col min="12" max="12" width="6.7109375" style="3" customWidth="1"/>
    <col min="13" max="16384" width="11.42578125" style="1"/>
  </cols>
  <sheetData>
    <row r="1" spans="2:12" x14ac:dyDescent="0.25">
      <c r="J1" s="1"/>
      <c r="K1" s="1"/>
      <c r="L1" s="1"/>
    </row>
    <row r="2" spans="2:12" x14ac:dyDescent="0.25">
      <c r="B2" s="3"/>
      <c r="C2" s="3"/>
      <c r="D2" s="3"/>
      <c r="E2" s="3"/>
      <c r="F2" s="3"/>
      <c r="G2" s="3"/>
      <c r="H2" s="3"/>
      <c r="I2" s="3"/>
    </row>
    <row r="3" spans="2:12" ht="19.5" x14ac:dyDescent="0.25">
      <c r="B3" s="3"/>
      <c r="C3" s="37" t="s">
        <v>97</v>
      </c>
      <c r="D3" s="37"/>
      <c r="E3" s="3"/>
      <c r="F3" s="3"/>
      <c r="G3" s="3"/>
      <c r="H3" s="3"/>
      <c r="I3" s="3"/>
    </row>
    <row r="4" spans="2:12" ht="18.95" customHeight="1" x14ac:dyDescent="0.25">
      <c r="B4" s="3"/>
      <c r="C4" s="5" t="s">
        <v>1</v>
      </c>
      <c r="D4" s="5" t="s">
        <v>4</v>
      </c>
      <c r="E4" s="5" t="s">
        <v>5</v>
      </c>
      <c r="F4" s="5" t="s">
        <v>66</v>
      </c>
      <c r="G4" s="5" t="s">
        <v>98</v>
      </c>
      <c r="H4" s="5" t="s">
        <v>65</v>
      </c>
      <c r="I4" s="5" t="s">
        <v>99</v>
      </c>
      <c r="J4" s="5" t="s">
        <v>100</v>
      </c>
      <c r="K4" s="5" t="s">
        <v>11</v>
      </c>
    </row>
    <row r="5" spans="2:12" ht="18.95" customHeight="1" x14ac:dyDescent="0.25">
      <c r="B5" s="3"/>
      <c r="C5" s="34"/>
      <c r="D5" s="35"/>
      <c r="E5" s="31"/>
      <c r="F5" s="30"/>
      <c r="G5" s="32"/>
      <c r="H5" s="33"/>
      <c r="I5" s="15"/>
      <c r="J5" s="15"/>
      <c r="K5" s="15"/>
    </row>
    <row r="6" spans="2:12" ht="19.5" x14ac:dyDescent="0.25">
      <c r="B6" s="3"/>
      <c r="C6" s="34"/>
      <c r="D6" s="44"/>
      <c r="E6" s="31"/>
      <c r="F6" s="30"/>
      <c r="G6" s="32"/>
      <c r="H6" s="33"/>
      <c r="I6" s="15"/>
      <c r="J6" s="15"/>
      <c r="K6" s="15"/>
    </row>
    <row r="7" spans="2:12" ht="19.5" x14ac:dyDescent="0.25">
      <c r="B7" s="3"/>
      <c r="C7" s="34"/>
      <c r="D7" s="44"/>
      <c r="E7" s="31"/>
      <c r="F7" s="30"/>
      <c r="G7" s="32"/>
      <c r="H7" s="33"/>
      <c r="I7" s="15"/>
      <c r="J7" s="15"/>
      <c r="K7" s="15"/>
    </row>
    <row r="8" spans="2:12" x14ac:dyDescent="0.25">
      <c r="B8" s="3"/>
      <c r="C8" s="3"/>
      <c r="D8" s="3"/>
      <c r="E8" s="3"/>
      <c r="F8" s="3"/>
      <c r="G8" s="3"/>
      <c r="H8" s="3"/>
      <c r="I8" s="3"/>
    </row>
    <row r="9" spans="2:12" x14ac:dyDescent="0.25">
      <c r="B9" s="3"/>
      <c r="C9" s="3"/>
      <c r="D9" s="3"/>
      <c r="E9" s="3"/>
      <c r="F9" s="3"/>
      <c r="G9" s="3"/>
      <c r="H9" s="3"/>
      <c r="I9" s="3"/>
    </row>
    <row r="10" spans="2:12" x14ac:dyDescent="0.25">
      <c r="B10" s="3"/>
      <c r="C10" s="3"/>
      <c r="D10" s="3"/>
      <c r="E10" s="3"/>
      <c r="F10" s="3"/>
      <c r="G10" s="3"/>
      <c r="H10" s="3"/>
      <c r="I10" s="3"/>
    </row>
    <row r="11" spans="2:12" x14ac:dyDescent="0.25">
      <c r="B11" s="3"/>
      <c r="C11" s="3"/>
      <c r="D11" s="3"/>
      <c r="E11" s="3"/>
      <c r="F11" s="3"/>
      <c r="G11" s="3"/>
      <c r="H11" s="3"/>
      <c r="I11" s="3"/>
    </row>
    <row r="12" spans="2:12" x14ac:dyDescent="0.25">
      <c r="B12" s="3"/>
      <c r="C12" s="3"/>
      <c r="D12" s="3"/>
      <c r="E12" s="3"/>
      <c r="F12" s="3"/>
      <c r="G12" s="3"/>
      <c r="H12" s="3"/>
      <c r="I12" s="3"/>
    </row>
    <row r="13" spans="2:12" x14ac:dyDescent="0.25">
      <c r="B13" s="3"/>
      <c r="C13" s="3"/>
      <c r="D13" s="3"/>
      <c r="E13" s="3"/>
      <c r="F13" s="3"/>
      <c r="G13" s="3"/>
      <c r="H13" s="3"/>
      <c r="I13" s="3"/>
    </row>
    <row r="14" spans="2:12" x14ac:dyDescent="0.25">
      <c r="B14" s="3"/>
      <c r="C14" s="3"/>
      <c r="D14" s="3"/>
      <c r="E14" s="3"/>
      <c r="F14" s="3"/>
      <c r="G14" s="3"/>
      <c r="H14" s="3"/>
      <c r="I14" s="3"/>
    </row>
    <row r="15" spans="2:12" x14ac:dyDescent="0.25">
      <c r="B15" s="3"/>
      <c r="C15" s="3"/>
      <c r="D15" s="3"/>
      <c r="E15" s="3"/>
      <c r="F15" s="3"/>
      <c r="G15" s="3"/>
      <c r="H15" s="3"/>
      <c r="I15" s="3"/>
    </row>
    <row r="16" spans="2:12" x14ac:dyDescent="0.25">
      <c r="B16" s="3"/>
      <c r="C16" s="3"/>
      <c r="D16" s="3"/>
      <c r="E16" s="3"/>
      <c r="F16" s="3"/>
      <c r="G16" s="3"/>
      <c r="H16" s="3"/>
      <c r="I16" s="3"/>
    </row>
    <row r="17" spans="2:9" x14ac:dyDescent="0.25">
      <c r="B17" s="3"/>
      <c r="C17" s="3"/>
      <c r="D17" s="3"/>
      <c r="E17" s="3"/>
      <c r="F17" s="3"/>
      <c r="G17" s="3"/>
      <c r="H17" s="3"/>
      <c r="I17" s="3"/>
    </row>
    <row r="18" spans="2:9" x14ac:dyDescent="0.25">
      <c r="B18" s="3"/>
      <c r="C18" s="3"/>
      <c r="D18" s="3"/>
      <c r="E18" s="3"/>
      <c r="F18" s="3"/>
      <c r="G18" s="3"/>
      <c r="H18" s="3"/>
      <c r="I18" s="3"/>
    </row>
    <row r="19" spans="2:9" x14ac:dyDescent="0.25">
      <c r="B19" s="3"/>
      <c r="C19" s="3"/>
      <c r="D19" s="3"/>
      <c r="E19" s="3"/>
      <c r="F19" s="3"/>
      <c r="G19" s="3"/>
      <c r="H19" s="3"/>
      <c r="I19" s="3"/>
    </row>
  </sheetData>
  <mergeCells count="1">
    <mergeCell ref="C3:D3"/>
  </mergeCells>
  <phoneticPr fontId="25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A75C3-6C65-46C1-B0D0-B780FDB7307D}">
  <sheetPr codeName="Feuil4"/>
  <dimension ref="B1:G19"/>
  <sheetViews>
    <sheetView showGridLines="0" workbookViewId="0">
      <selection activeCell="B8" sqref="B8"/>
    </sheetView>
  </sheetViews>
  <sheetFormatPr baseColWidth="10" defaultRowHeight="15" x14ac:dyDescent="0.25"/>
  <cols>
    <col min="1" max="1" width="11.42578125" style="2"/>
    <col min="2" max="2" width="11.42578125" style="3"/>
    <col min="3" max="3" width="20.28515625" style="3" customWidth="1"/>
    <col min="4" max="4" width="16" style="3" customWidth="1"/>
    <col min="5" max="5" width="32.42578125" style="3" customWidth="1"/>
    <col min="6" max="6" width="34.85546875" style="3" bestFit="1" customWidth="1"/>
    <col min="7" max="7" width="13.28515625" style="3" customWidth="1"/>
    <col min="8" max="16384" width="11.42578125" style="2"/>
  </cols>
  <sheetData>
    <row r="1" spans="2:7" x14ac:dyDescent="0.25">
      <c r="B1" s="2"/>
      <c r="C1" s="2"/>
      <c r="D1" s="2"/>
      <c r="E1" s="2"/>
      <c r="F1" s="2"/>
      <c r="G1" s="2"/>
    </row>
    <row r="2" spans="2:7" ht="18" x14ac:dyDescent="0.25">
      <c r="C2" s="41" t="s">
        <v>74</v>
      </c>
      <c r="D2" s="42"/>
    </row>
    <row r="3" spans="2:7" x14ac:dyDescent="0.25">
      <c r="C3" s="43" t="s">
        <v>75</v>
      </c>
      <c r="D3" s="43"/>
      <c r="E3" s="43"/>
    </row>
    <row r="5" spans="2:7" ht="18.95" customHeight="1" x14ac:dyDescent="0.25">
      <c r="C5" s="7" t="s">
        <v>8</v>
      </c>
      <c r="D5" s="7" t="s">
        <v>9</v>
      </c>
      <c r="E5" s="7" t="s">
        <v>10</v>
      </c>
      <c r="F5" s="7" t="s">
        <v>11</v>
      </c>
    </row>
    <row r="6" spans="2:7" ht="18.95" customHeight="1" x14ac:dyDescent="0.25">
      <c r="C6" s="4" t="s">
        <v>12</v>
      </c>
      <c r="D6" s="4" t="s">
        <v>26</v>
      </c>
      <c r="E6" s="4" t="s">
        <v>37</v>
      </c>
      <c r="F6" s="6" t="s">
        <v>49</v>
      </c>
    </row>
    <row r="7" spans="2:7" ht="18.95" customHeight="1" x14ac:dyDescent="0.25">
      <c r="C7" s="4" t="s">
        <v>13</v>
      </c>
      <c r="D7" s="4" t="s">
        <v>27</v>
      </c>
      <c r="E7" s="4" t="s">
        <v>38</v>
      </c>
      <c r="F7" s="6" t="s">
        <v>50</v>
      </c>
    </row>
    <row r="8" spans="2:7" ht="18.95" customHeight="1" x14ac:dyDescent="0.25">
      <c r="C8" s="4" t="s">
        <v>14</v>
      </c>
      <c r="D8" s="4" t="s">
        <v>28</v>
      </c>
      <c r="E8" s="4" t="s">
        <v>39</v>
      </c>
      <c r="F8" s="6" t="s">
        <v>62</v>
      </c>
    </row>
    <row r="9" spans="2:7" ht="18.95" customHeight="1" x14ac:dyDescent="0.25">
      <c r="C9" s="4" t="s">
        <v>15</v>
      </c>
      <c r="D9" s="4" t="s">
        <v>29</v>
      </c>
      <c r="E9" s="4" t="s">
        <v>40</v>
      </c>
      <c r="F9" s="6" t="s">
        <v>51</v>
      </c>
    </row>
    <row r="10" spans="2:7" ht="18.95" customHeight="1" x14ac:dyDescent="0.25">
      <c r="C10" s="4" t="s">
        <v>16</v>
      </c>
      <c r="D10" s="4" t="s">
        <v>30</v>
      </c>
      <c r="E10" s="4" t="s">
        <v>41</v>
      </c>
      <c r="F10" s="6" t="s">
        <v>52</v>
      </c>
    </row>
    <row r="11" spans="2:7" ht="18.95" customHeight="1" x14ac:dyDescent="0.25">
      <c r="C11" s="4" t="s">
        <v>17</v>
      </c>
      <c r="D11" s="4" t="s">
        <v>31</v>
      </c>
      <c r="E11" s="4" t="s">
        <v>42</v>
      </c>
      <c r="F11" s="6" t="s">
        <v>53</v>
      </c>
    </row>
    <row r="12" spans="2:7" ht="18.95" customHeight="1" x14ac:dyDescent="0.25">
      <c r="C12" s="4" t="s">
        <v>18</v>
      </c>
      <c r="D12" s="4" t="s">
        <v>32</v>
      </c>
      <c r="E12" s="4" t="s">
        <v>43</v>
      </c>
      <c r="F12" s="6" t="s">
        <v>54</v>
      </c>
    </row>
    <row r="13" spans="2:7" ht="18.95" customHeight="1" x14ac:dyDescent="0.25">
      <c r="C13" s="4" t="s">
        <v>19</v>
      </c>
      <c r="D13" s="4" t="s">
        <v>33</v>
      </c>
      <c r="E13" s="4" t="s">
        <v>44</v>
      </c>
      <c r="F13" s="6" t="s">
        <v>55</v>
      </c>
    </row>
    <row r="14" spans="2:7" ht="18.95" customHeight="1" x14ac:dyDescent="0.25">
      <c r="C14" s="4" t="s">
        <v>20</v>
      </c>
      <c r="D14" s="4" t="s">
        <v>34</v>
      </c>
      <c r="E14" s="4" t="s">
        <v>45</v>
      </c>
      <c r="F14" s="6" t="s">
        <v>56</v>
      </c>
    </row>
    <row r="15" spans="2:7" ht="18.95" customHeight="1" x14ac:dyDescent="0.25">
      <c r="C15" s="4" t="s">
        <v>21</v>
      </c>
      <c r="D15" s="4" t="s">
        <v>35</v>
      </c>
      <c r="E15" s="4" t="s">
        <v>46</v>
      </c>
      <c r="F15" s="6" t="s">
        <v>57</v>
      </c>
    </row>
    <row r="16" spans="2:7" ht="18.95" customHeight="1" x14ac:dyDescent="0.25">
      <c r="C16" s="4" t="s">
        <v>22</v>
      </c>
      <c r="D16" s="4" t="s">
        <v>27</v>
      </c>
      <c r="E16" s="4" t="s">
        <v>47</v>
      </c>
      <c r="F16" s="6" t="s">
        <v>58</v>
      </c>
    </row>
    <row r="17" spans="3:6" ht="18.95" customHeight="1" x14ac:dyDescent="0.25">
      <c r="C17" s="4" t="s">
        <v>23</v>
      </c>
      <c r="D17" s="4" t="s">
        <v>28</v>
      </c>
      <c r="E17" s="4" t="s">
        <v>38</v>
      </c>
      <c r="F17" s="6" t="s">
        <v>59</v>
      </c>
    </row>
    <row r="18" spans="3:6" ht="18.95" customHeight="1" x14ac:dyDescent="0.25">
      <c r="C18" s="4" t="s">
        <v>24</v>
      </c>
      <c r="D18" s="4" t="s">
        <v>29</v>
      </c>
      <c r="E18" s="4" t="s">
        <v>48</v>
      </c>
      <c r="F18" s="6" t="s">
        <v>60</v>
      </c>
    </row>
    <row r="19" spans="3:6" ht="18.95" customHeight="1" x14ac:dyDescent="0.25">
      <c r="C19" s="4" t="s">
        <v>25</v>
      </c>
      <c r="D19" s="4" t="s">
        <v>36</v>
      </c>
      <c r="E19" s="4" t="s">
        <v>40</v>
      </c>
      <c r="F19" s="6" t="s">
        <v>61</v>
      </c>
    </row>
  </sheetData>
  <mergeCells count="2">
    <mergeCell ref="C2:D2"/>
    <mergeCell ref="C3:E3"/>
  </mergeCells>
  <hyperlinks>
    <hyperlink ref="F6" r:id="rId1" xr:uid="{EB4EB2B9-4389-4AC8-9D49-EE02311F2A24}"/>
    <hyperlink ref="F7" r:id="rId2" xr:uid="{582F7BAA-3D2F-46C1-9F50-3941C731E0C2}"/>
    <hyperlink ref="F8" r:id="rId3" xr:uid="{A748915A-5581-4D33-BA72-8DBEBBEB765B}"/>
    <hyperlink ref="F9" r:id="rId4" xr:uid="{2E6B2EF7-839C-4475-9306-6EA33486DE2E}"/>
    <hyperlink ref="F10" r:id="rId5" xr:uid="{7330AB89-19DA-4433-B2B3-93650557DD60}"/>
    <hyperlink ref="F11" r:id="rId6" xr:uid="{0D785E49-4EA4-496A-A9B7-07AC5123FC7A}"/>
    <hyperlink ref="F12" r:id="rId7" xr:uid="{C88E6ACC-338B-4B23-BBBE-2364F96775D5}"/>
    <hyperlink ref="F13" r:id="rId8" xr:uid="{0FCA6069-248B-4EC1-9B28-0D643B7A53D6}"/>
    <hyperlink ref="F14" r:id="rId9" xr:uid="{75239E3C-5433-4367-BA45-1ACE856F8240}"/>
    <hyperlink ref="F15" r:id="rId10" xr:uid="{C511D421-098C-4051-ABD9-6319056212A0}"/>
    <hyperlink ref="F16" r:id="rId11" xr:uid="{395CF5C3-785E-4297-8F09-2B2D0F4D680F}"/>
    <hyperlink ref="F17" r:id="rId12" xr:uid="{D9CBBDDD-5152-4EA6-95FA-1173EF428E31}"/>
    <hyperlink ref="F18" r:id="rId13" xr:uid="{2D4D3E3C-E543-4178-B79C-3DBE411FBB22}"/>
    <hyperlink ref="F19" r:id="rId14" xr:uid="{4D7E78EA-757D-45A0-A767-B3A69419E2A7}"/>
  </hyperlinks>
  <pageMargins left="0.7" right="0.7" top="0.75" bottom="0.75" header="0.3" footer="0.3"/>
  <tableParts count="1"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Créance</vt:lpstr>
      <vt:lpstr>Règlement</vt:lpstr>
      <vt:lpstr>Rélance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261344610058</dc:creator>
  <cp:lastModifiedBy>261344610058</cp:lastModifiedBy>
  <dcterms:created xsi:type="dcterms:W3CDTF">2026-07-30T06:31:26Z</dcterms:created>
  <dcterms:modified xsi:type="dcterms:W3CDTF">2026-07-30T18:03:55Z</dcterms:modified>
</cp:coreProperties>
</file>